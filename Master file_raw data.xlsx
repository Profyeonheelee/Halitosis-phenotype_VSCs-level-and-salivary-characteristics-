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 연구 VitaminD ESR CRP Prolo\구취\Halitosis_Focused on 논문\"/>
    </mc:Choice>
  </mc:AlternateContent>
  <xr:revisionPtr revIDLastSave="0" documentId="8_{D99B466A-EFBE-4CE6-978F-EA0A501352BF}" xr6:coauthVersionLast="36" xr6:coauthVersionMax="36" xr10:uidLastSave="{00000000-0000-0000-0000-000000000000}"/>
  <bookViews>
    <workbookView xWindow="0" yWindow="0" windowWidth="21600" windowHeight="11930" xr2:uid="{6390F552-3434-45AC-8BDB-A3A9F44C5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80" i="1" l="1"/>
  <c r="S580" i="1"/>
  <c r="R580" i="1"/>
  <c r="Q580" i="1"/>
  <c r="P580" i="1"/>
  <c r="L580" i="1"/>
  <c r="M580" i="1" s="1"/>
  <c r="T579" i="1"/>
  <c r="S579" i="1"/>
  <c r="R579" i="1"/>
  <c r="Q579" i="1"/>
  <c r="P579" i="1"/>
  <c r="L579" i="1"/>
  <c r="M579" i="1" s="1"/>
  <c r="T578" i="1"/>
  <c r="S578" i="1"/>
  <c r="R578" i="1"/>
  <c r="Q578" i="1"/>
  <c r="P578" i="1"/>
  <c r="N578" i="1"/>
  <c r="M578" i="1"/>
  <c r="O578" i="1" s="1"/>
  <c r="L578" i="1"/>
  <c r="T577" i="1"/>
  <c r="S577" i="1"/>
  <c r="R577" i="1"/>
  <c r="Q577" i="1"/>
  <c r="P577" i="1"/>
  <c r="N577" i="1"/>
  <c r="M577" i="1"/>
  <c r="O577" i="1" s="1"/>
  <c r="L577" i="1"/>
  <c r="T576" i="1"/>
  <c r="S576" i="1"/>
  <c r="R576" i="1"/>
  <c r="Q576" i="1"/>
  <c r="P576" i="1"/>
  <c r="O576" i="1"/>
  <c r="M576" i="1"/>
  <c r="N576" i="1" s="1"/>
  <c r="L576" i="1"/>
  <c r="T575" i="1"/>
  <c r="S575" i="1"/>
  <c r="R575" i="1"/>
  <c r="Q575" i="1"/>
  <c r="P575" i="1"/>
  <c r="L575" i="1"/>
  <c r="M575" i="1" s="1"/>
  <c r="T574" i="1"/>
  <c r="S574" i="1"/>
  <c r="R574" i="1"/>
  <c r="Q574" i="1"/>
  <c r="P574" i="1"/>
  <c r="M574" i="1"/>
  <c r="O574" i="1" s="1"/>
  <c r="L574" i="1"/>
  <c r="T573" i="1"/>
  <c r="S573" i="1"/>
  <c r="R573" i="1"/>
  <c r="Q573" i="1"/>
  <c r="P573" i="1"/>
  <c r="L573" i="1"/>
  <c r="M573" i="1" s="1"/>
  <c r="O573" i="1" s="1"/>
  <c r="T572" i="1"/>
  <c r="S572" i="1"/>
  <c r="R572" i="1"/>
  <c r="Q572" i="1"/>
  <c r="P572" i="1"/>
  <c r="M572" i="1"/>
  <c r="L572" i="1"/>
  <c r="T571" i="1"/>
  <c r="S571" i="1"/>
  <c r="R571" i="1"/>
  <c r="Q571" i="1"/>
  <c r="P571" i="1"/>
  <c r="L571" i="1"/>
  <c r="M571" i="1" s="1"/>
  <c r="T570" i="1"/>
  <c r="S570" i="1"/>
  <c r="R570" i="1"/>
  <c r="Q570" i="1"/>
  <c r="P570" i="1"/>
  <c r="M570" i="1"/>
  <c r="L570" i="1"/>
  <c r="T569" i="1"/>
  <c r="S569" i="1"/>
  <c r="R569" i="1"/>
  <c r="Q569" i="1"/>
  <c r="P569" i="1"/>
  <c r="L569" i="1"/>
  <c r="M569" i="1" s="1"/>
  <c r="T568" i="1"/>
  <c r="S568" i="1"/>
  <c r="R568" i="1"/>
  <c r="Q568" i="1"/>
  <c r="P568" i="1"/>
  <c r="L568" i="1"/>
  <c r="M568" i="1" s="1"/>
  <c r="T567" i="1"/>
  <c r="S567" i="1"/>
  <c r="R567" i="1"/>
  <c r="Q567" i="1"/>
  <c r="P567" i="1"/>
  <c r="L567" i="1"/>
  <c r="M567" i="1" s="1"/>
  <c r="O567" i="1" s="1"/>
  <c r="T566" i="1"/>
  <c r="S566" i="1"/>
  <c r="R566" i="1"/>
  <c r="Q566" i="1"/>
  <c r="P566" i="1"/>
  <c r="L566" i="1"/>
  <c r="M566" i="1" s="1"/>
  <c r="T565" i="1"/>
  <c r="S565" i="1"/>
  <c r="R565" i="1"/>
  <c r="Q565" i="1"/>
  <c r="P565" i="1"/>
  <c r="L565" i="1"/>
  <c r="M565" i="1" s="1"/>
  <c r="T564" i="1"/>
  <c r="S564" i="1"/>
  <c r="R564" i="1"/>
  <c r="Q564" i="1"/>
  <c r="P564" i="1"/>
  <c r="M564" i="1"/>
  <c r="L564" i="1"/>
  <c r="T563" i="1"/>
  <c r="S563" i="1"/>
  <c r="R563" i="1"/>
  <c r="Q563" i="1"/>
  <c r="P563" i="1"/>
  <c r="N563" i="1"/>
  <c r="M563" i="1"/>
  <c r="O563" i="1" s="1"/>
  <c r="L563" i="1"/>
  <c r="T562" i="1"/>
  <c r="S562" i="1"/>
  <c r="R562" i="1"/>
  <c r="Q562" i="1"/>
  <c r="P562" i="1"/>
  <c r="O562" i="1"/>
  <c r="M562" i="1"/>
  <c r="N562" i="1" s="1"/>
  <c r="L562" i="1"/>
  <c r="T561" i="1"/>
  <c r="S561" i="1"/>
  <c r="R561" i="1"/>
  <c r="Q561" i="1"/>
  <c r="P561" i="1"/>
  <c r="L561" i="1"/>
  <c r="M561" i="1" s="1"/>
  <c r="T560" i="1"/>
  <c r="S560" i="1"/>
  <c r="R560" i="1"/>
  <c r="Q560" i="1"/>
  <c r="P560" i="1"/>
  <c r="M560" i="1"/>
  <c r="O560" i="1" s="1"/>
  <c r="L560" i="1"/>
  <c r="T559" i="1"/>
  <c r="S559" i="1"/>
  <c r="R559" i="1"/>
  <c r="Q559" i="1"/>
  <c r="P559" i="1"/>
  <c r="L559" i="1"/>
  <c r="M559" i="1" s="1"/>
  <c r="O559" i="1" s="1"/>
  <c r="T558" i="1"/>
  <c r="S558" i="1"/>
  <c r="R558" i="1"/>
  <c r="Q558" i="1"/>
  <c r="P558" i="1"/>
  <c r="N558" i="1"/>
  <c r="M558" i="1"/>
  <c r="O558" i="1" s="1"/>
  <c r="L558" i="1"/>
  <c r="T557" i="1"/>
  <c r="S557" i="1"/>
  <c r="R557" i="1"/>
  <c r="Q557" i="1"/>
  <c r="P557" i="1"/>
  <c r="L557" i="1"/>
  <c r="M557" i="1" s="1"/>
  <c r="T556" i="1"/>
  <c r="S556" i="1"/>
  <c r="R556" i="1"/>
  <c r="Q556" i="1"/>
  <c r="P556" i="1"/>
  <c r="M556" i="1"/>
  <c r="N556" i="1" s="1"/>
  <c r="L556" i="1"/>
  <c r="T555" i="1"/>
  <c r="S555" i="1"/>
  <c r="R555" i="1"/>
  <c r="Q555" i="1"/>
  <c r="P555" i="1"/>
  <c r="L555" i="1"/>
  <c r="M555" i="1" s="1"/>
  <c r="T554" i="1"/>
  <c r="S554" i="1"/>
  <c r="R554" i="1"/>
  <c r="Q554" i="1"/>
  <c r="P554" i="1"/>
  <c r="L554" i="1"/>
  <c r="M554" i="1" s="1"/>
  <c r="T553" i="1"/>
  <c r="S553" i="1"/>
  <c r="R553" i="1"/>
  <c r="Q553" i="1"/>
  <c r="P553" i="1"/>
  <c r="L553" i="1"/>
  <c r="M553" i="1" s="1"/>
  <c r="O553" i="1" s="1"/>
  <c r="T552" i="1"/>
  <c r="S552" i="1"/>
  <c r="R552" i="1"/>
  <c r="Q552" i="1"/>
  <c r="P552" i="1"/>
  <c r="L552" i="1"/>
  <c r="M552" i="1" s="1"/>
  <c r="T551" i="1"/>
  <c r="S551" i="1"/>
  <c r="R551" i="1"/>
  <c r="Q551" i="1"/>
  <c r="P551" i="1"/>
  <c r="L551" i="1"/>
  <c r="M551" i="1" s="1"/>
  <c r="T550" i="1"/>
  <c r="S550" i="1"/>
  <c r="R550" i="1"/>
  <c r="Q550" i="1"/>
  <c r="P550" i="1"/>
  <c r="O550" i="1"/>
  <c r="M550" i="1"/>
  <c r="N550" i="1" s="1"/>
  <c r="L550" i="1"/>
  <c r="T549" i="1"/>
  <c r="S549" i="1"/>
  <c r="R549" i="1"/>
  <c r="Q549" i="1"/>
  <c r="P549" i="1"/>
  <c r="N549" i="1"/>
  <c r="M549" i="1"/>
  <c r="O549" i="1" s="1"/>
  <c r="L549" i="1"/>
  <c r="T548" i="1"/>
  <c r="S548" i="1"/>
  <c r="R548" i="1"/>
  <c r="Q548" i="1"/>
  <c r="P548" i="1"/>
  <c r="O548" i="1"/>
  <c r="M548" i="1"/>
  <c r="N548" i="1" s="1"/>
  <c r="L548" i="1"/>
  <c r="T547" i="1"/>
  <c r="S547" i="1"/>
  <c r="R547" i="1"/>
  <c r="Q547" i="1"/>
  <c r="P547" i="1"/>
  <c r="M547" i="1"/>
  <c r="N547" i="1" s="1"/>
  <c r="L547" i="1"/>
  <c r="T546" i="1"/>
  <c r="S546" i="1"/>
  <c r="R546" i="1"/>
  <c r="Q546" i="1"/>
  <c r="P546" i="1"/>
  <c r="M546" i="1"/>
  <c r="O546" i="1" s="1"/>
  <c r="L546" i="1"/>
  <c r="T545" i="1"/>
  <c r="S545" i="1"/>
  <c r="R545" i="1"/>
  <c r="Q545" i="1"/>
  <c r="P545" i="1"/>
  <c r="N545" i="1"/>
  <c r="L545" i="1"/>
  <c r="M545" i="1" s="1"/>
  <c r="O545" i="1" s="1"/>
  <c r="T544" i="1"/>
  <c r="S544" i="1"/>
  <c r="R544" i="1"/>
  <c r="Q544" i="1"/>
  <c r="P544" i="1"/>
  <c r="L544" i="1"/>
  <c r="M544" i="1" s="1"/>
  <c r="T543" i="1"/>
  <c r="S543" i="1"/>
  <c r="R543" i="1"/>
  <c r="Q543" i="1"/>
  <c r="P543" i="1"/>
  <c r="L543" i="1"/>
  <c r="M543" i="1" s="1"/>
  <c r="T542" i="1"/>
  <c r="S542" i="1"/>
  <c r="R542" i="1"/>
  <c r="Q542" i="1"/>
  <c r="P542" i="1"/>
  <c r="O542" i="1"/>
  <c r="M542" i="1"/>
  <c r="N542" i="1" s="1"/>
  <c r="L542" i="1"/>
  <c r="T541" i="1"/>
  <c r="S541" i="1"/>
  <c r="R541" i="1"/>
  <c r="Q541" i="1"/>
  <c r="P541" i="1"/>
  <c r="M541" i="1"/>
  <c r="L541" i="1"/>
  <c r="T540" i="1"/>
  <c r="S540" i="1"/>
  <c r="R540" i="1"/>
  <c r="Q540" i="1"/>
  <c r="P540" i="1"/>
  <c r="L540" i="1"/>
  <c r="M540" i="1" s="1"/>
  <c r="T539" i="1"/>
  <c r="S539" i="1"/>
  <c r="R539" i="1"/>
  <c r="Q539" i="1"/>
  <c r="P539" i="1"/>
  <c r="O539" i="1"/>
  <c r="N539" i="1"/>
  <c r="L539" i="1"/>
  <c r="M539" i="1" s="1"/>
  <c r="T538" i="1"/>
  <c r="S538" i="1"/>
  <c r="R538" i="1"/>
  <c r="Q538" i="1"/>
  <c r="P538" i="1"/>
  <c r="L538" i="1"/>
  <c r="M538" i="1" s="1"/>
  <c r="T537" i="1"/>
  <c r="S537" i="1"/>
  <c r="R537" i="1"/>
  <c r="Q537" i="1"/>
  <c r="P537" i="1"/>
  <c r="L537" i="1"/>
  <c r="M537" i="1" s="1"/>
  <c r="T536" i="1"/>
  <c r="S536" i="1"/>
  <c r="R536" i="1"/>
  <c r="Q536" i="1"/>
  <c r="P536" i="1"/>
  <c r="O536" i="1"/>
  <c r="N536" i="1"/>
  <c r="M536" i="1"/>
  <c r="L536" i="1"/>
  <c r="T535" i="1"/>
  <c r="S535" i="1"/>
  <c r="R535" i="1"/>
  <c r="Q535" i="1"/>
  <c r="P535" i="1"/>
  <c r="N535" i="1"/>
  <c r="M535" i="1"/>
  <c r="O535" i="1" s="1"/>
  <c r="L535" i="1"/>
  <c r="T534" i="1"/>
  <c r="S534" i="1"/>
  <c r="R534" i="1"/>
  <c r="Q534" i="1"/>
  <c r="P534" i="1"/>
  <c r="O534" i="1"/>
  <c r="M534" i="1"/>
  <c r="N534" i="1" s="1"/>
  <c r="L534" i="1"/>
  <c r="T533" i="1"/>
  <c r="S533" i="1"/>
  <c r="R533" i="1"/>
  <c r="Q533" i="1"/>
  <c r="P533" i="1"/>
  <c r="L533" i="1"/>
  <c r="M533" i="1" s="1"/>
  <c r="T532" i="1"/>
  <c r="S532" i="1"/>
  <c r="R532" i="1"/>
  <c r="Q532" i="1"/>
  <c r="P532" i="1"/>
  <c r="M532" i="1"/>
  <c r="O532" i="1" s="1"/>
  <c r="L532" i="1"/>
  <c r="T531" i="1"/>
  <c r="S531" i="1"/>
  <c r="R531" i="1"/>
  <c r="Q531" i="1"/>
  <c r="P531" i="1"/>
  <c r="L531" i="1"/>
  <c r="M531" i="1" s="1"/>
  <c r="O531" i="1" s="1"/>
  <c r="T530" i="1"/>
  <c r="S530" i="1"/>
  <c r="R530" i="1"/>
  <c r="Q530" i="1"/>
  <c r="P530" i="1"/>
  <c r="L530" i="1"/>
  <c r="M530" i="1" s="1"/>
  <c r="O530" i="1" s="1"/>
  <c r="T529" i="1"/>
  <c r="S529" i="1"/>
  <c r="R529" i="1"/>
  <c r="Q529" i="1"/>
  <c r="P529" i="1"/>
  <c r="L529" i="1"/>
  <c r="M529" i="1" s="1"/>
  <c r="T528" i="1"/>
  <c r="S528" i="1"/>
  <c r="R528" i="1"/>
  <c r="Q528" i="1"/>
  <c r="P528" i="1"/>
  <c r="O528" i="1"/>
  <c r="M528" i="1"/>
  <c r="N528" i="1" s="1"/>
  <c r="L528" i="1"/>
  <c r="T527" i="1"/>
  <c r="S527" i="1"/>
  <c r="R527" i="1"/>
  <c r="Q527" i="1"/>
  <c r="P527" i="1"/>
  <c r="M527" i="1"/>
  <c r="L527" i="1"/>
  <c r="T526" i="1"/>
  <c r="S526" i="1"/>
  <c r="R526" i="1"/>
  <c r="Q526" i="1"/>
  <c r="P526" i="1"/>
  <c r="L526" i="1"/>
  <c r="M526" i="1" s="1"/>
  <c r="T525" i="1"/>
  <c r="S525" i="1"/>
  <c r="R525" i="1"/>
  <c r="Q525" i="1"/>
  <c r="P525" i="1"/>
  <c r="O525" i="1"/>
  <c r="N525" i="1"/>
  <c r="L525" i="1"/>
  <c r="M525" i="1" s="1"/>
  <c r="T524" i="1"/>
  <c r="S524" i="1"/>
  <c r="R524" i="1"/>
  <c r="Q524" i="1"/>
  <c r="P524" i="1"/>
  <c r="L524" i="1"/>
  <c r="M524" i="1" s="1"/>
  <c r="T523" i="1"/>
  <c r="S523" i="1"/>
  <c r="R523" i="1"/>
  <c r="Q523" i="1"/>
  <c r="P523" i="1"/>
  <c r="L523" i="1"/>
  <c r="M523" i="1" s="1"/>
  <c r="T522" i="1"/>
  <c r="S522" i="1"/>
  <c r="R522" i="1"/>
  <c r="Q522" i="1"/>
  <c r="P522" i="1"/>
  <c r="O522" i="1"/>
  <c r="N522" i="1"/>
  <c r="M522" i="1"/>
  <c r="L522" i="1"/>
  <c r="T521" i="1"/>
  <c r="S521" i="1"/>
  <c r="R521" i="1"/>
  <c r="Q521" i="1"/>
  <c r="P521" i="1"/>
  <c r="N521" i="1"/>
  <c r="M521" i="1"/>
  <c r="O521" i="1" s="1"/>
  <c r="L521" i="1"/>
  <c r="T520" i="1"/>
  <c r="S520" i="1"/>
  <c r="R520" i="1"/>
  <c r="Q520" i="1"/>
  <c r="P520" i="1"/>
  <c r="O520" i="1"/>
  <c r="M520" i="1"/>
  <c r="N520" i="1" s="1"/>
  <c r="L520" i="1"/>
  <c r="T519" i="1"/>
  <c r="S519" i="1"/>
  <c r="R519" i="1"/>
  <c r="Q519" i="1"/>
  <c r="P519" i="1"/>
  <c r="L519" i="1"/>
  <c r="M519" i="1" s="1"/>
  <c r="T518" i="1"/>
  <c r="S518" i="1"/>
  <c r="R518" i="1"/>
  <c r="Q518" i="1"/>
  <c r="P518" i="1"/>
  <c r="M518" i="1"/>
  <c r="O518" i="1" s="1"/>
  <c r="L518" i="1"/>
  <c r="T517" i="1"/>
  <c r="S517" i="1"/>
  <c r="R517" i="1"/>
  <c r="Q517" i="1"/>
  <c r="P517" i="1"/>
  <c r="L517" i="1"/>
  <c r="M517" i="1" s="1"/>
  <c r="T516" i="1"/>
  <c r="S516" i="1"/>
  <c r="R516" i="1"/>
  <c r="Q516" i="1"/>
  <c r="P516" i="1"/>
  <c r="L516" i="1"/>
  <c r="M516" i="1" s="1"/>
  <c r="T515" i="1"/>
  <c r="S515" i="1"/>
  <c r="R515" i="1"/>
  <c r="Q515" i="1"/>
  <c r="P515" i="1"/>
  <c r="L515" i="1"/>
  <c r="M515" i="1" s="1"/>
  <c r="T514" i="1"/>
  <c r="S514" i="1"/>
  <c r="R514" i="1"/>
  <c r="Q514" i="1"/>
  <c r="P514" i="1"/>
  <c r="O514" i="1"/>
  <c r="M514" i="1"/>
  <c r="N514" i="1" s="1"/>
  <c r="L514" i="1"/>
  <c r="T513" i="1"/>
  <c r="S513" i="1"/>
  <c r="R513" i="1"/>
  <c r="Q513" i="1"/>
  <c r="P513" i="1"/>
  <c r="L513" i="1"/>
  <c r="M513" i="1" s="1"/>
  <c r="T512" i="1"/>
  <c r="S512" i="1"/>
  <c r="R512" i="1"/>
  <c r="Q512" i="1"/>
  <c r="P512" i="1"/>
  <c r="L512" i="1"/>
  <c r="M512" i="1" s="1"/>
  <c r="T511" i="1"/>
  <c r="S511" i="1"/>
  <c r="R511" i="1"/>
  <c r="Q511" i="1"/>
  <c r="P511" i="1"/>
  <c r="N511" i="1"/>
  <c r="L511" i="1"/>
  <c r="M511" i="1" s="1"/>
  <c r="O511" i="1" s="1"/>
  <c r="T510" i="1"/>
  <c r="S510" i="1"/>
  <c r="R510" i="1"/>
  <c r="Q510" i="1"/>
  <c r="P510" i="1"/>
  <c r="L510" i="1"/>
  <c r="M510" i="1" s="1"/>
  <c r="N510" i="1" s="1"/>
  <c r="T509" i="1"/>
  <c r="S509" i="1"/>
  <c r="R509" i="1"/>
  <c r="Q509" i="1"/>
  <c r="P509" i="1"/>
  <c r="L509" i="1"/>
  <c r="M509" i="1" s="1"/>
  <c r="T508" i="1"/>
  <c r="S508" i="1"/>
  <c r="R508" i="1"/>
  <c r="Q508" i="1"/>
  <c r="P508" i="1"/>
  <c r="O508" i="1"/>
  <c r="M508" i="1"/>
  <c r="N508" i="1" s="1"/>
  <c r="L508" i="1"/>
  <c r="T507" i="1"/>
  <c r="S507" i="1"/>
  <c r="R507" i="1"/>
  <c r="Q507" i="1"/>
  <c r="P507" i="1"/>
  <c r="N507" i="1"/>
  <c r="M507" i="1"/>
  <c r="O507" i="1" s="1"/>
  <c r="L507" i="1"/>
  <c r="T506" i="1"/>
  <c r="S506" i="1"/>
  <c r="R506" i="1"/>
  <c r="Q506" i="1"/>
  <c r="P506" i="1"/>
  <c r="O506" i="1"/>
  <c r="M506" i="1"/>
  <c r="N506" i="1" s="1"/>
  <c r="L506" i="1"/>
  <c r="T505" i="1"/>
  <c r="S505" i="1"/>
  <c r="R505" i="1"/>
  <c r="Q505" i="1"/>
  <c r="P505" i="1"/>
  <c r="L505" i="1"/>
  <c r="M505" i="1" s="1"/>
  <c r="O505" i="1" s="1"/>
  <c r="T504" i="1"/>
  <c r="S504" i="1"/>
  <c r="R504" i="1"/>
  <c r="Q504" i="1"/>
  <c r="P504" i="1"/>
  <c r="M504" i="1"/>
  <c r="L504" i="1"/>
  <c r="T503" i="1"/>
  <c r="S503" i="1"/>
  <c r="R503" i="1"/>
  <c r="Q503" i="1"/>
  <c r="P503" i="1"/>
  <c r="L503" i="1"/>
  <c r="M503" i="1" s="1"/>
  <c r="O503" i="1" s="1"/>
  <c r="T502" i="1"/>
  <c r="S502" i="1"/>
  <c r="R502" i="1"/>
  <c r="Q502" i="1"/>
  <c r="P502" i="1"/>
  <c r="L502" i="1"/>
  <c r="M502" i="1" s="1"/>
  <c r="T501" i="1"/>
  <c r="S501" i="1"/>
  <c r="R501" i="1"/>
  <c r="Q501" i="1"/>
  <c r="P501" i="1"/>
  <c r="L501" i="1"/>
  <c r="M501" i="1" s="1"/>
  <c r="T500" i="1"/>
  <c r="S500" i="1"/>
  <c r="R500" i="1"/>
  <c r="Q500" i="1"/>
  <c r="P500" i="1"/>
  <c r="M500" i="1"/>
  <c r="N500" i="1" s="1"/>
  <c r="L500" i="1"/>
  <c r="T499" i="1"/>
  <c r="S499" i="1"/>
  <c r="R499" i="1"/>
  <c r="Q499" i="1"/>
  <c r="P499" i="1"/>
  <c r="M499" i="1"/>
  <c r="L499" i="1"/>
  <c r="T498" i="1"/>
  <c r="S498" i="1"/>
  <c r="R498" i="1"/>
  <c r="Q498" i="1"/>
  <c r="P498" i="1"/>
  <c r="L498" i="1"/>
  <c r="M498" i="1" s="1"/>
  <c r="T497" i="1"/>
  <c r="S497" i="1"/>
  <c r="R497" i="1"/>
  <c r="Q497" i="1"/>
  <c r="P497" i="1"/>
  <c r="O497" i="1"/>
  <c r="N497" i="1"/>
  <c r="L497" i="1"/>
  <c r="M497" i="1" s="1"/>
  <c r="T496" i="1"/>
  <c r="S496" i="1"/>
  <c r="R496" i="1"/>
  <c r="Q496" i="1"/>
  <c r="P496" i="1"/>
  <c r="L496" i="1"/>
  <c r="M496" i="1" s="1"/>
  <c r="T495" i="1"/>
  <c r="S495" i="1"/>
  <c r="R495" i="1"/>
  <c r="Q495" i="1"/>
  <c r="P495" i="1"/>
  <c r="L495" i="1"/>
  <c r="M495" i="1" s="1"/>
  <c r="T494" i="1"/>
  <c r="S494" i="1"/>
  <c r="R494" i="1"/>
  <c r="Q494" i="1"/>
  <c r="P494" i="1"/>
  <c r="M494" i="1"/>
  <c r="L494" i="1"/>
  <c r="T493" i="1"/>
  <c r="S493" i="1"/>
  <c r="R493" i="1"/>
  <c r="Q493" i="1"/>
  <c r="P493" i="1"/>
  <c r="L493" i="1"/>
  <c r="M493" i="1" s="1"/>
  <c r="O493" i="1" s="1"/>
  <c r="T492" i="1"/>
  <c r="S492" i="1"/>
  <c r="R492" i="1"/>
  <c r="Q492" i="1"/>
  <c r="P492" i="1"/>
  <c r="O492" i="1"/>
  <c r="M492" i="1"/>
  <c r="N492" i="1" s="1"/>
  <c r="L492" i="1"/>
  <c r="T491" i="1"/>
  <c r="S491" i="1"/>
  <c r="R491" i="1"/>
  <c r="Q491" i="1"/>
  <c r="P491" i="1"/>
  <c r="O491" i="1"/>
  <c r="N491" i="1"/>
  <c r="M491" i="1"/>
  <c r="L491" i="1"/>
  <c r="T490" i="1"/>
  <c r="S490" i="1"/>
  <c r="R490" i="1"/>
  <c r="Q490" i="1"/>
  <c r="P490" i="1"/>
  <c r="M490" i="1"/>
  <c r="L490" i="1"/>
  <c r="T489" i="1"/>
  <c r="S489" i="1"/>
  <c r="R489" i="1"/>
  <c r="Q489" i="1"/>
  <c r="P489" i="1"/>
  <c r="N489" i="1"/>
  <c r="L489" i="1"/>
  <c r="M489" i="1" s="1"/>
  <c r="O489" i="1" s="1"/>
  <c r="T488" i="1"/>
  <c r="S488" i="1"/>
  <c r="R488" i="1"/>
  <c r="Q488" i="1"/>
  <c r="P488" i="1"/>
  <c r="M488" i="1"/>
  <c r="O488" i="1" s="1"/>
  <c r="L488" i="1"/>
  <c r="T487" i="1"/>
  <c r="S487" i="1"/>
  <c r="R487" i="1"/>
  <c r="Q487" i="1"/>
  <c r="P487" i="1"/>
  <c r="L487" i="1"/>
  <c r="M487" i="1" s="1"/>
  <c r="T486" i="1"/>
  <c r="S486" i="1"/>
  <c r="R486" i="1"/>
  <c r="Q486" i="1"/>
  <c r="P486" i="1"/>
  <c r="M486" i="1"/>
  <c r="N486" i="1" s="1"/>
  <c r="L486" i="1"/>
  <c r="T485" i="1"/>
  <c r="S485" i="1"/>
  <c r="R485" i="1"/>
  <c r="Q485" i="1"/>
  <c r="P485" i="1"/>
  <c r="L485" i="1"/>
  <c r="M485" i="1" s="1"/>
  <c r="T484" i="1"/>
  <c r="S484" i="1"/>
  <c r="R484" i="1"/>
  <c r="Q484" i="1"/>
  <c r="P484" i="1"/>
  <c r="L484" i="1"/>
  <c r="M484" i="1" s="1"/>
  <c r="T483" i="1"/>
  <c r="S483" i="1"/>
  <c r="R483" i="1"/>
  <c r="Q483" i="1"/>
  <c r="P483" i="1"/>
  <c r="L483" i="1"/>
  <c r="M483" i="1" s="1"/>
  <c r="O483" i="1" s="1"/>
  <c r="T482" i="1"/>
  <c r="S482" i="1"/>
  <c r="R482" i="1"/>
  <c r="Q482" i="1"/>
  <c r="P482" i="1"/>
  <c r="O482" i="1"/>
  <c r="L482" i="1"/>
  <c r="M482" i="1" s="1"/>
  <c r="N482" i="1" s="1"/>
  <c r="T481" i="1"/>
  <c r="S481" i="1"/>
  <c r="R481" i="1"/>
  <c r="Q481" i="1"/>
  <c r="P481" i="1"/>
  <c r="L481" i="1"/>
  <c r="M481" i="1" s="1"/>
  <c r="T480" i="1"/>
  <c r="S480" i="1"/>
  <c r="R480" i="1"/>
  <c r="Q480" i="1"/>
  <c r="P480" i="1"/>
  <c r="O480" i="1"/>
  <c r="N480" i="1"/>
  <c r="M480" i="1"/>
  <c r="L480" i="1"/>
  <c r="T479" i="1"/>
  <c r="S479" i="1"/>
  <c r="R479" i="1"/>
  <c r="Q479" i="1"/>
  <c r="P479" i="1"/>
  <c r="L479" i="1"/>
  <c r="M479" i="1" s="1"/>
  <c r="O479" i="1" s="1"/>
  <c r="T478" i="1"/>
  <c r="S478" i="1"/>
  <c r="R478" i="1"/>
  <c r="Q478" i="1"/>
  <c r="P478" i="1"/>
  <c r="O478" i="1"/>
  <c r="M478" i="1"/>
  <c r="N478" i="1" s="1"/>
  <c r="L478" i="1"/>
  <c r="T477" i="1"/>
  <c r="S477" i="1"/>
  <c r="R477" i="1"/>
  <c r="Q477" i="1"/>
  <c r="P477" i="1"/>
  <c r="N477" i="1"/>
  <c r="M477" i="1"/>
  <c r="O477" i="1" s="1"/>
  <c r="L477" i="1"/>
  <c r="T476" i="1"/>
  <c r="S476" i="1"/>
  <c r="R476" i="1"/>
  <c r="Q476" i="1"/>
  <c r="P476" i="1"/>
  <c r="M476" i="1"/>
  <c r="L476" i="1"/>
  <c r="T475" i="1"/>
  <c r="S475" i="1"/>
  <c r="R475" i="1"/>
  <c r="Q475" i="1"/>
  <c r="P475" i="1"/>
  <c r="N475" i="1"/>
  <c r="L475" i="1"/>
  <c r="M475" i="1" s="1"/>
  <c r="O475" i="1" s="1"/>
  <c r="T474" i="1"/>
  <c r="S474" i="1"/>
  <c r="R474" i="1"/>
  <c r="Q474" i="1"/>
  <c r="P474" i="1"/>
  <c r="M474" i="1"/>
  <c r="O474" i="1" s="1"/>
  <c r="L474" i="1"/>
  <c r="T473" i="1"/>
  <c r="S473" i="1"/>
  <c r="R473" i="1"/>
  <c r="Q473" i="1"/>
  <c r="P473" i="1"/>
  <c r="L473" i="1"/>
  <c r="M473" i="1" s="1"/>
  <c r="T472" i="1"/>
  <c r="S472" i="1"/>
  <c r="R472" i="1"/>
  <c r="Q472" i="1"/>
  <c r="P472" i="1"/>
  <c r="M472" i="1"/>
  <c r="N472" i="1" s="1"/>
  <c r="L472" i="1"/>
  <c r="T471" i="1"/>
  <c r="S471" i="1"/>
  <c r="R471" i="1"/>
  <c r="Q471" i="1"/>
  <c r="P471" i="1"/>
  <c r="M471" i="1"/>
  <c r="L471" i="1"/>
  <c r="T470" i="1"/>
  <c r="S470" i="1"/>
  <c r="R470" i="1"/>
  <c r="Q470" i="1"/>
  <c r="P470" i="1"/>
  <c r="L470" i="1"/>
  <c r="M470" i="1" s="1"/>
  <c r="T469" i="1"/>
  <c r="S469" i="1"/>
  <c r="R469" i="1"/>
  <c r="Q469" i="1"/>
  <c r="P469" i="1"/>
  <c r="N469" i="1"/>
  <c r="L469" i="1"/>
  <c r="M469" i="1" s="1"/>
  <c r="O469" i="1" s="1"/>
  <c r="T468" i="1"/>
  <c r="S468" i="1"/>
  <c r="R468" i="1"/>
  <c r="Q468" i="1"/>
  <c r="P468" i="1"/>
  <c r="O468" i="1"/>
  <c r="L468" i="1"/>
  <c r="M468" i="1" s="1"/>
  <c r="N468" i="1" s="1"/>
  <c r="T467" i="1"/>
  <c r="S467" i="1"/>
  <c r="R467" i="1"/>
  <c r="Q467" i="1"/>
  <c r="P467" i="1"/>
  <c r="L467" i="1"/>
  <c r="M467" i="1" s="1"/>
  <c r="T466" i="1"/>
  <c r="S466" i="1"/>
  <c r="R466" i="1"/>
  <c r="Q466" i="1"/>
  <c r="P466" i="1"/>
  <c r="O466" i="1"/>
  <c r="N466" i="1"/>
  <c r="M466" i="1"/>
  <c r="L466" i="1"/>
  <c r="T465" i="1"/>
  <c r="S465" i="1"/>
  <c r="R465" i="1"/>
  <c r="Q465" i="1"/>
  <c r="P465" i="1"/>
  <c r="L465" i="1"/>
  <c r="M465" i="1" s="1"/>
  <c r="O465" i="1" s="1"/>
  <c r="T464" i="1"/>
  <c r="S464" i="1"/>
  <c r="R464" i="1"/>
  <c r="Q464" i="1"/>
  <c r="P464" i="1"/>
  <c r="O464" i="1"/>
  <c r="M464" i="1"/>
  <c r="N464" i="1" s="1"/>
  <c r="L464" i="1"/>
  <c r="T463" i="1"/>
  <c r="S463" i="1"/>
  <c r="R463" i="1"/>
  <c r="Q463" i="1"/>
  <c r="P463" i="1"/>
  <c r="O463" i="1"/>
  <c r="M463" i="1"/>
  <c r="N463" i="1" s="1"/>
  <c r="L463" i="1"/>
  <c r="T462" i="1"/>
  <c r="S462" i="1"/>
  <c r="R462" i="1"/>
  <c r="Q462" i="1"/>
  <c r="P462" i="1"/>
  <c r="M462" i="1"/>
  <c r="L462" i="1"/>
  <c r="T461" i="1"/>
  <c r="S461" i="1"/>
  <c r="R461" i="1"/>
  <c r="Q461" i="1"/>
  <c r="P461" i="1"/>
  <c r="N461" i="1"/>
  <c r="L461" i="1"/>
  <c r="M461" i="1" s="1"/>
  <c r="O461" i="1" s="1"/>
  <c r="T460" i="1"/>
  <c r="S460" i="1"/>
  <c r="R460" i="1"/>
  <c r="Q460" i="1"/>
  <c r="P460" i="1"/>
  <c r="L460" i="1"/>
  <c r="M460" i="1" s="1"/>
  <c r="T459" i="1"/>
  <c r="S459" i="1"/>
  <c r="R459" i="1"/>
  <c r="Q459" i="1"/>
  <c r="P459" i="1"/>
  <c r="L459" i="1"/>
  <c r="M459" i="1" s="1"/>
  <c r="T458" i="1"/>
  <c r="S458" i="1"/>
  <c r="R458" i="1"/>
  <c r="Q458" i="1"/>
  <c r="P458" i="1"/>
  <c r="M458" i="1"/>
  <c r="N458" i="1" s="1"/>
  <c r="L458" i="1"/>
  <c r="T457" i="1"/>
  <c r="S457" i="1"/>
  <c r="R457" i="1"/>
  <c r="Q457" i="1"/>
  <c r="P457" i="1"/>
  <c r="L457" i="1"/>
  <c r="M457" i="1" s="1"/>
  <c r="T456" i="1"/>
  <c r="S456" i="1"/>
  <c r="R456" i="1"/>
  <c r="Q456" i="1"/>
  <c r="P456" i="1"/>
  <c r="L456" i="1"/>
  <c r="M456" i="1" s="1"/>
  <c r="N456" i="1" s="1"/>
  <c r="T455" i="1"/>
  <c r="S455" i="1"/>
  <c r="R455" i="1"/>
  <c r="Q455" i="1"/>
  <c r="P455" i="1"/>
  <c r="L455" i="1"/>
  <c r="M455" i="1" s="1"/>
  <c r="O455" i="1" s="1"/>
  <c r="T454" i="1"/>
  <c r="S454" i="1"/>
  <c r="R454" i="1"/>
  <c r="Q454" i="1"/>
  <c r="P454" i="1"/>
  <c r="O454" i="1"/>
  <c r="L454" i="1"/>
  <c r="M454" i="1" s="1"/>
  <c r="N454" i="1" s="1"/>
  <c r="T453" i="1"/>
  <c r="S453" i="1"/>
  <c r="R453" i="1"/>
  <c r="Q453" i="1"/>
  <c r="P453" i="1"/>
  <c r="L453" i="1"/>
  <c r="M453" i="1" s="1"/>
  <c r="O453" i="1" s="1"/>
  <c r="T452" i="1"/>
  <c r="S452" i="1"/>
  <c r="R452" i="1"/>
  <c r="Q452" i="1"/>
  <c r="P452" i="1"/>
  <c r="N452" i="1"/>
  <c r="M452" i="1"/>
  <c r="O452" i="1" s="1"/>
  <c r="L452" i="1"/>
  <c r="T451" i="1"/>
  <c r="S451" i="1"/>
  <c r="R451" i="1"/>
  <c r="Q451" i="1"/>
  <c r="P451" i="1"/>
  <c r="N451" i="1"/>
  <c r="L451" i="1"/>
  <c r="M451" i="1" s="1"/>
  <c r="O451" i="1" s="1"/>
  <c r="T450" i="1"/>
  <c r="S450" i="1"/>
  <c r="R450" i="1"/>
  <c r="Q450" i="1"/>
  <c r="P450" i="1"/>
  <c r="M450" i="1"/>
  <c r="N450" i="1" s="1"/>
  <c r="L450" i="1"/>
  <c r="T449" i="1"/>
  <c r="S449" i="1"/>
  <c r="R449" i="1"/>
  <c r="Q449" i="1"/>
  <c r="P449" i="1"/>
  <c r="L449" i="1"/>
  <c r="M449" i="1" s="1"/>
  <c r="T448" i="1"/>
  <c r="S448" i="1"/>
  <c r="R448" i="1"/>
  <c r="Q448" i="1"/>
  <c r="P448" i="1"/>
  <c r="M448" i="1"/>
  <c r="L448" i="1"/>
  <c r="T447" i="1"/>
  <c r="S447" i="1"/>
  <c r="R447" i="1"/>
  <c r="Q447" i="1"/>
  <c r="P447" i="1"/>
  <c r="L447" i="1"/>
  <c r="M447" i="1" s="1"/>
  <c r="O447" i="1" s="1"/>
  <c r="T446" i="1"/>
  <c r="S446" i="1"/>
  <c r="R446" i="1"/>
  <c r="Q446" i="1"/>
  <c r="P446" i="1"/>
  <c r="L446" i="1"/>
  <c r="M446" i="1" s="1"/>
  <c r="T445" i="1"/>
  <c r="S445" i="1"/>
  <c r="R445" i="1"/>
  <c r="Q445" i="1"/>
  <c r="P445" i="1"/>
  <c r="L445" i="1"/>
  <c r="M445" i="1" s="1"/>
  <c r="T444" i="1"/>
  <c r="S444" i="1"/>
  <c r="R444" i="1"/>
  <c r="Q444" i="1"/>
  <c r="P444" i="1"/>
  <c r="O444" i="1"/>
  <c r="M444" i="1"/>
  <c r="N444" i="1" s="1"/>
  <c r="L444" i="1"/>
  <c r="T443" i="1"/>
  <c r="S443" i="1"/>
  <c r="R443" i="1"/>
  <c r="Q443" i="1"/>
  <c r="P443" i="1"/>
  <c r="L443" i="1"/>
  <c r="M443" i="1" s="1"/>
  <c r="T442" i="1"/>
  <c r="S442" i="1"/>
  <c r="R442" i="1"/>
  <c r="Q442" i="1"/>
  <c r="P442" i="1"/>
  <c r="L442" i="1"/>
  <c r="M442" i="1" s="1"/>
  <c r="N442" i="1" s="1"/>
  <c r="T441" i="1"/>
  <c r="S441" i="1"/>
  <c r="R441" i="1"/>
  <c r="Q441" i="1"/>
  <c r="P441" i="1"/>
  <c r="O441" i="1"/>
  <c r="L441" i="1"/>
  <c r="M441" i="1" s="1"/>
  <c r="N441" i="1" s="1"/>
  <c r="T440" i="1"/>
  <c r="S440" i="1"/>
  <c r="R440" i="1"/>
  <c r="Q440" i="1"/>
  <c r="P440" i="1"/>
  <c r="L440" i="1"/>
  <c r="M440" i="1" s="1"/>
  <c r="N440" i="1" s="1"/>
  <c r="T439" i="1"/>
  <c r="S439" i="1"/>
  <c r="R439" i="1"/>
  <c r="Q439" i="1"/>
  <c r="P439" i="1"/>
  <c r="N439" i="1"/>
  <c r="L439" i="1"/>
  <c r="M439" i="1" s="1"/>
  <c r="O439" i="1" s="1"/>
  <c r="T438" i="1"/>
  <c r="S438" i="1"/>
  <c r="R438" i="1"/>
  <c r="Q438" i="1"/>
  <c r="P438" i="1"/>
  <c r="O438" i="1"/>
  <c r="N438" i="1"/>
  <c r="M438" i="1"/>
  <c r="L438" i="1"/>
  <c r="T437" i="1"/>
  <c r="S437" i="1"/>
  <c r="R437" i="1"/>
  <c r="Q437" i="1"/>
  <c r="P437" i="1"/>
  <c r="L437" i="1"/>
  <c r="M437" i="1" s="1"/>
  <c r="O437" i="1" s="1"/>
  <c r="T436" i="1"/>
  <c r="S436" i="1"/>
  <c r="R436" i="1"/>
  <c r="Q436" i="1"/>
  <c r="P436" i="1"/>
  <c r="O436" i="1"/>
  <c r="M436" i="1"/>
  <c r="N436" i="1" s="1"/>
  <c r="L436" i="1"/>
  <c r="T435" i="1"/>
  <c r="S435" i="1"/>
  <c r="R435" i="1"/>
  <c r="Q435" i="1"/>
  <c r="P435" i="1"/>
  <c r="O435" i="1"/>
  <c r="M435" i="1"/>
  <c r="N435" i="1" s="1"/>
  <c r="L435" i="1"/>
  <c r="T434" i="1"/>
  <c r="S434" i="1"/>
  <c r="R434" i="1"/>
  <c r="Q434" i="1"/>
  <c r="P434" i="1"/>
  <c r="M434" i="1"/>
  <c r="L434" i="1"/>
  <c r="T433" i="1"/>
  <c r="S433" i="1"/>
  <c r="R433" i="1"/>
  <c r="Q433" i="1"/>
  <c r="P433" i="1"/>
  <c r="N433" i="1"/>
  <c r="L433" i="1"/>
  <c r="M433" i="1" s="1"/>
  <c r="O433" i="1" s="1"/>
  <c r="T432" i="1"/>
  <c r="S432" i="1"/>
  <c r="R432" i="1"/>
  <c r="Q432" i="1"/>
  <c r="P432" i="1"/>
  <c r="M432" i="1"/>
  <c r="O432" i="1" s="1"/>
  <c r="L432" i="1"/>
  <c r="T431" i="1"/>
  <c r="S431" i="1"/>
  <c r="R431" i="1"/>
  <c r="Q431" i="1"/>
  <c r="P431" i="1"/>
  <c r="L431" i="1"/>
  <c r="M431" i="1" s="1"/>
  <c r="T430" i="1"/>
  <c r="S430" i="1"/>
  <c r="R430" i="1"/>
  <c r="Q430" i="1"/>
  <c r="P430" i="1"/>
  <c r="M430" i="1"/>
  <c r="N430" i="1" s="1"/>
  <c r="L430" i="1"/>
  <c r="T429" i="1"/>
  <c r="S429" i="1"/>
  <c r="R429" i="1"/>
  <c r="Q429" i="1"/>
  <c r="P429" i="1"/>
  <c r="L429" i="1"/>
  <c r="M429" i="1" s="1"/>
  <c r="T428" i="1"/>
  <c r="S428" i="1"/>
  <c r="R428" i="1"/>
  <c r="Q428" i="1"/>
  <c r="P428" i="1"/>
  <c r="L428" i="1"/>
  <c r="M428" i="1" s="1"/>
  <c r="N428" i="1" s="1"/>
  <c r="T427" i="1"/>
  <c r="S427" i="1"/>
  <c r="R427" i="1"/>
  <c r="Q427" i="1"/>
  <c r="P427" i="1"/>
  <c r="L427" i="1"/>
  <c r="M427" i="1" s="1"/>
  <c r="O427" i="1" s="1"/>
  <c r="T426" i="1"/>
  <c r="S426" i="1"/>
  <c r="R426" i="1"/>
  <c r="Q426" i="1"/>
  <c r="P426" i="1"/>
  <c r="O426" i="1"/>
  <c r="L426" i="1"/>
  <c r="M426" i="1" s="1"/>
  <c r="N426" i="1" s="1"/>
  <c r="T425" i="1"/>
  <c r="S425" i="1"/>
  <c r="R425" i="1"/>
  <c r="Q425" i="1"/>
  <c r="P425" i="1"/>
  <c r="L425" i="1"/>
  <c r="M425" i="1" s="1"/>
  <c r="O425" i="1" s="1"/>
  <c r="T424" i="1"/>
  <c r="S424" i="1"/>
  <c r="R424" i="1"/>
  <c r="Q424" i="1"/>
  <c r="P424" i="1"/>
  <c r="O424" i="1"/>
  <c r="N424" i="1"/>
  <c r="M424" i="1"/>
  <c r="L424" i="1"/>
  <c r="T423" i="1"/>
  <c r="S423" i="1"/>
  <c r="R423" i="1"/>
  <c r="Q423" i="1"/>
  <c r="P423" i="1"/>
  <c r="N423" i="1"/>
  <c r="L423" i="1"/>
  <c r="M423" i="1" s="1"/>
  <c r="O423" i="1" s="1"/>
  <c r="T422" i="1"/>
  <c r="S422" i="1"/>
  <c r="R422" i="1"/>
  <c r="Q422" i="1"/>
  <c r="P422" i="1"/>
  <c r="M422" i="1"/>
  <c r="N422" i="1" s="1"/>
  <c r="L422" i="1"/>
  <c r="T421" i="1"/>
  <c r="S421" i="1"/>
  <c r="R421" i="1"/>
  <c r="Q421" i="1"/>
  <c r="P421" i="1"/>
  <c r="L421" i="1"/>
  <c r="M421" i="1" s="1"/>
  <c r="T420" i="1"/>
  <c r="S420" i="1"/>
  <c r="R420" i="1"/>
  <c r="Q420" i="1"/>
  <c r="P420" i="1"/>
  <c r="M420" i="1"/>
  <c r="L420" i="1"/>
  <c r="T419" i="1"/>
  <c r="S419" i="1"/>
  <c r="R419" i="1"/>
  <c r="Q419" i="1"/>
  <c r="P419" i="1"/>
  <c r="L419" i="1"/>
  <c r="M419" i="1" s="1"/>
  <c r="O419" i="1" s="1"/>
  <c r="T418" i="1"/>
  <c r="S418" i="1"/>
  <c r="R418" i="1"/>
  <c r="Q418" i="1"/>
  <c r="P418" i="1"/>
  <c r="L418" i="1"/>
  <c r="M418" i="1" s="1"/>
  <c r="T417" i="1"/>
  <c r="S417" i="1"/>
  <c r="R417" i="1"/>
  <c r="Q417" i="1"/>
  <c r="P417" i="1"/>
  <c r="L417" i="1"/>
  <c r="M417" i="1" s="1"/>
  <c r="T416" i="1"/>
  <c r="S416" i="1"/>
  <c r="R416" i="1"/>
  <c r="Q416" i="1"/>
  <c r="P416" i="1"/>
  <c r="O416" i="1"/>
  <c r="M416" i="1"/>
  <c r="N416" i="1" s="1"/>
  <c r="L416" i="1"/>
  <c r="T415" i="1"/>
  <c r="S415" i="1"/>
  <c r="R415" i="1"/>
  <c r="Q415" i="1"/>
  <c r="P415" i="1"/>
  <c r="L415" i="1"/>
  <c r="M415" i="1" s="1"/>
  <c r="T414" i="1"/>
  <c r="S414" i="1"/>
  <c r="R414" i="1"/>
  <c r="Q414" i="1"/>
  <c r="P414" i="1"/>
  <c r="L414" i="1"/>
  <c r="M414" i="1" s="1"/>
  <c r="N414" i="1" s="1"/>
  <c r="T413" i="1"/>
  <c r="S413" i="1"/>
  <c r="R413" i="1"/>
  <c r="Q413" i="1"/>
  <c r="P413" i="1"/>
  <c r="L413" i="1"/>
  <c r="M413" i="1" s="1"/>
  <c r="O413" i="1" s="1"/>
  <c r="T412" i="1"/>
  <c r="S412" i="1"/>
  <c r="R412" i="1"/>
  <c r="Q412" i="1"/>
  <c r="P412" i="1"/>
  <c r="L412" i="1"/>
  <c r="M412" i="1" s="1"/>
  <c r="N412" i="1" s="1"/>
  <c r="T411" i="1"/>
  <c r="S411" i="1"/>
  <c r="R411" i="1"/>
  <c r="Q411" i="1"/>
  <c r="P411" i="1"/>
  <c r="N411" i="1"/>
  <c r="L411" i="1"/>
  <c r="M411" i="1" s="1"/>
  <c r="O411" i="1" s="1"/>
  <c r="T410" i="1"/>
  <c r="S410" i="1"/>
  <c r="R410" i="1"/>
  <c r="Q410" i="1"/>
  <c r="P410" i="1"/>
  <c r="O410" i="1"/>
  <c r="N410" i="1"/>
  <c r="M410" i="1"/>
  <c r="L410" i="1"/>
  <c r="T409" i="1"/>
  <c r="S409" i="1"/>
  <c r="R409" i="1"/>
  <c r="Q409" i="1"/>
  <c r="P409" i="1"/>
  <c r="L409" i="1"/>
  <c r="M409" i="1" s="1"/>
  <c r="O409" i="1" s="1"/>
  <c r="T408" i="1"/>
  <c r="S408" i="1"/>
  <c r="R408" i="1"/>
  <c r="Q408" i="1"/>
  <c r="P408" i="1"/>
  <c r="M408" i="1"/>
  <c r="N408" i="1" s="1"/>
  <c r="L408" i="1"/>
  <c r="T407" i="1"/>
  <c r="S407" i="1"/>
  <c r="R407" i="1"/>
  <c r="Q407" i="1"/>
  <c r="P407" i="1"/>
  <c r="O407" i="1"/>
  <c r="M407" i="1"/>
  <c r="N407" i="1" s="1"/>
  <c r="L407" i="1"/>
  <c r="T406" i="1"/>
  <c r="S406" i="1"/>
  <c r="R406" i="1"/>
  <c r="Q406" i="1"/>
  <c r="P406" i="1"/>
  <c r="M406" i="1"/>
  <c r="L406" i="1"/>
  <c r="T405" i="1"/>
  <c r="S405" i="1"/>
  <c r="R405" i="1"/>
  <c r="Q405" i="1"/>
  <c r="P405" i="1"/>
  <c r="N405" i="1"/>
  <c r="L405" i="1"/>
  <c r="M405" i="1" s="1"/>
  <c r="O405" i="1" s="1"/>
  <c r="T404" i="1"/>
  <c r="S404" i="1"/>
  <c r="R404" i="1"/>
  <c r="Q404" i="1"/>
  <c r="P404" i="1"/>
  <c r="M404" i="1"/>
  <c r="O404" i="1" s="1"/>
  <c r="L404" i="1"/>
  <c r="T403" i="1"/>
  <c r="S403" i="1"/>
  <c r="R403" i="1"/>
  <c r="Q403" i="1"/>
  <c r="P403" i="1"/>
  <c r="L403" i="1"/>
  <c r="M403" i="1" s="1"/>
  <c r="T402" i="1"/>
  <c r="S402" i="1"/>
  <c r="R402" i="1"/>
  <c r="Q402" i="1"/>
  <c r="P402" i="1"/>
  <c r="M402" i="1"/>
  <c r="N402" i="1" s="1"/>
  <c r="L402" i="1"/>
  <c r="T401" i="1"/>
  <c r="S401" i="1"/>
  <c r="R401" i="1"/>
  <c r="Q401" i="1"/>
  <c r="P401" i="1"/>
  <c r="M401" i="1"/>
  <c r="L401" i="1"/>
  <c r="T400" i="1"/>
  <c r="S400" i="1"/>
  <c r="R400" i="1"/>
  <c r="Q400" i="1"/>
  <c r="P400" i="1"/>
  <c r="O400" i="1"/>
  <c r="L400" i="1"/>
  <c r="M400" i="1" s="1"/>
  <c r="N400" i="1" s="1"/>
  <c r="T399" i="1"/>
  <c r="S399" i="1"/>
  <c r="R399" i="1"/>
  <c r="Q399" i="1"/>
  <c r="P399" i="1"/>
  <c r="L399" i="1"/>
  <c r="M399" i="1" s="1"/>
  <c r="O399" i="1" s="1"/>
  <c r="T398" i="1"/>
  <c r="S398" i="1"/>
  <c r="R398" i="1"/>
  <c r="Q398" i="1"/>
  <c r="P398" i="1"/>
  <c r="L398" i="1"/>
  <c r="M398" i="1" s="1"/>
  <c r="N398" i="1" s="1"/>
  <c r="T397" i="1"/>
  <c r="S397" i="1"/>
  <c r="R397" i="1"/>
  <c r="Q397" i="1"/>
  <c r="P397" i="1"/>
  <c r="L397" i="1"/>
  <c r="M397" i="1" s="1"/>
  <c r="O397" i="1" s="1"/>
  <c r="T396" i="1"/>
  <c r="S396" i="1"/>
  <c r="R396" i="1"/>
  <c r="Q396" i="1"/>
  <c r="P396" i="1"/>
  <c r="O396" i="1"/>
  <c r="M396" i="1"/>
  <c r="N396" i="1" s="1"/>
  <c r="L396" i="1"/>
  <c r="T395" i="1"/>
  <c r="S395" i="1"/>
  <c r="R395" i="1"/>
  <c r="Q395" i="1"/>
  <c r="P395" i="1"/>
  <c r="L395" i="1"/>
  <c r="M395" i="1" s="1"/>
  <c r="O395" i="1" s="1"/>
  <c r="T394" i="1"/>
  <c r="S394" i="1"/>
  <c r="R394" i="1"/>
  <c r="Q394" i="1"/>
  <c r="P394" i="1"/>
  <c r="M394" i="1"/>
  <c r="N394" i="1" s="1"/>
  <c r="L394" i="1"/>
  <c r="T393" i="1"/>
  <c r="S393" i="1"/>
  <c r="R393" i="1"/>
  <c r="Q393" i="1"/>
  <c r="P393" i="1"/>
  <c r="M393" i="1"/>
  <c r="L393" i="1"/>
  <c r="T392" i="1"/>
  <c r="S392" i="1"/>
  <c r="R392" i="1"/>
  <c r="Q392" i="1"/>
  <c r="P392" i="1"/>
  <c r="M392" i="1"/>
  <c r="L392" i="1"/>
  <c r="T391" i="1"/>
  <c r="S391" i="1"/>
  <c r="R391" i="1"/>
  <c r="Q391" i="1"/>
  <c r="P391" i="1"/>
  <c r="N391" i="1"/>
  <c r="L391" i="1"/>
  <c r="M391" i="1" s="1"/>
  <c r="O391" i="1" s="1"/>
  <c r="T390" i="1"/>
  <c r="S390" i="1"/>
  <c r="R390" i="1"/>
  <c r="Q390" i="1"/>
  <c r="P390" i="1"/>
  <c r="N390" i="1"/>
  <c r="M390" i="1"/>
  <c r="O390" i="1" s="1"/>
  <c r="L390" i="1"/>
  <c r="T389" i="1"/>
  <c r="S389" i="1"/>
  <c r="R389" i="1"/>
  <c r="Q389" i="1"/>
  <c r="P389" i="1"/>
  <c r="L389" i="1"/>
  <c r="M389" i="1" s="1"/>
  <c r="T388" i="1"/>
  <c r="S388" i="1"/>
  <c r="R388" i="1"/>
  <c r="Q388" i="1"/>
  <c r="P388" i="1"/>
  <c r="O388" i="1"/>
  <c r="M388" i="1"/>
  <c r="N388" i="1" s="1"/>
  <c r="L388" i="1"/>
  <c r="T387" i="1"/>
  <c r="S387" i="1"/>
  <c r="R387" i="1"/>
  <c r="Q387" i="1"/>
  <c r="P387" i="1"/>
  <c r="L387" i="1"/>
  <c r="M387" i="1" s="1"/>
  <c r="T386" i="1"/>
  <c r="S386" i="1"/>
  <c r="R386" i="1"/>
  <c r="Q386" i="1"/>
  <c r="P386" i="1"/>
  <c r="O386" i="1"/>
  <c r="L386" i="1"/>
  <c r="M386" i="1" s="1"/>
  <c r="N386" i="1" s="1"/>
  <c r="T385" i="1"/>
  <c r="S385" i="1"/>
  <c r="R385" i="1"/>
  <c r="Q385" i="1"/>
  <c r="P385" i="1"/>
  <c r="L385" i="1"/>
  <c r="M385" i="1" s="1"/>
  <c r="N385" i="1" s="1"/>
  <c r="T384" i="1"/>
  <c r="S384" i="1"/>
  <c r="R384" i="1"/>
  <c r="Q384" i="1"/>
  <c r="P384" i="1"/>
  <c r="L384" i="1"/>
  <c r="M384" i="1" s="1"/>
  <c r="N384" i="1" s="1"/>
  <c r="T383" i="1"/>
  <c r="S383" i="1"/>
  <c r="R383" i="1"/>
  <c r="Q383" i="1"/>
  <c r="P383" i="1"/>
  <c r="L383" i="1"/>
  <c r="M383" i="1" s="1"/>
  <c r="O383" i="1" s="1"/>
  <c r="T382" i="1"/>
  <c r="S382" i="1"/>
  <c r="R382" i="1"/>
  <c r="Q382" i="1"/>
  <c r="P382" i="1"/>
  <c r="O382" i="1"/>
  <c r="N382" i="1"/>
  <c r="M382" i="1"/>
  <c r="L382" i="1"/>
  <c r="T381" i="1"/>
  <c r="S381" i="1"/>
  <c r="R381" i="1"/>
  <c r="Q381" i="1"/>
  <c r="P381" i="1"/>
  <c r="N381" i="1"/>
  <c r="L381" i="1"/>
  <c r="M381" i="1" s="1"/>
  <c r="O381" i="1" s="1"/>
  <c r="T380" i="1"/>
  <c r="S380" i="1"/>
  <c r="R380" i="1"/>
  <c r="Q380" i="1"/>
  <c r="P380" i="1"/>
  <c r="M380" i="1"/>
  <c r="N380" i="1" s="1"/>
  <c r="L380" i="1"/>
  <c r="T379" i="1"/>
  <c r="S379" i="1"/>
  <c r="R379" i="1"/>
  <c r="Q379" i="1"/>
  <c r="P379" i="1"/>
  <c r="O379" i="1"/>
  <c r="M379" i="1"/>
  <c r="N379" i="1" s="1"/>
  <c r="L379" i="1"/>
  <c r="T378" i="1"/>
  <c r="S378" i="1"/>
  <c r="R378" i="1"/>
  <c r="Q378" i="1"/>
  <c r="P378" i="1"/>
  <c r="M378" i="1"/>
  <c r="L378" i="1"/>
  <c r="T377" i="1"/>
  <c r="S377" i="1"/>
  <c r="R377" i="1"/>
  <c r="Q377" i="1"/>
  <c r="P377" i="1"/>
  <c r="N377" i="1"/>
  <c r="L377" i="1"/>
  <c r="M377" i="1" s="1"/>
  <c r="O377" i="1" s="1"/>
  <c r="T376" i="1"/>
  <c r="S376" i="1"/>
  <c r="R376" i="1"/>
  <c r="Q376" i="1"/>
  <c r="P376" i="1"/>
  <c r="L376" i="1"/>
  <c r="M376" i="1" s="1"/>
  <c r="T375" i="1"/>
  <c r="S375" i="1"/>
  <c r="R375" i="1"/>
  <c r="Q375" i="1"/>
  <c r="P375" i="1"/>
  <c r="L375" i="1"/>
  <c r="M375" i="1" s="1"/>
  <c r="T374" i="1"/>
  <c r="S374" i="1"/>
  <c r="R374" i="1"/>
  <c r="Q374" i="1"/>
  <c r="P374" i="1"/>
  <c r="M374" i="1"/>
  <c r="N374" i="1" s="1"/>
  <c r="L374" i="1"/>
  <c r="T373" i="1"/>
  <c r="S373" i="1"/>
  <c r="R373" i="1"/>
  <c r="Q373" i="1"/>
  <c r="P373" i="1"/>
  <c r="M373" i="1"/>
  <c r="L373" i="1"/>
  <c r="T372" i="1"/>
  <c r="S372" i="1"/>
  <c r="R372" i="1"/>
  <c r="Q372" i="1"/>
  <c r="P372" i="1"/>
  <c r="L372" i="1"/>
  <c r="M372" i="1" s="1"/>
  <c r="N372" i="1" s="1"/>
  <c r="T371" i="1"/>
  <c r="S371" i="1"/>
  <c r="R371" i="1"/>
  <c r="Q371" i="1"/>
  <c r="P371" i="1"/>
  <c r="L371" i="1"/>
  <c r="M371" i="1" s="1"/>
  <c r="O371" i="1" s="1"/>
  <c r="T370" i="1"/>
  <c r="S370" i="1"/>
  <c r="R370" i="1"/>
  <c r="Q370" i="1"/>
  <c r="P370" i="1"/>
  <c r="L370" i="1"/>
  <c r="M370" i="1" s="1"/>
  <c r="N370" i="1" s="1"/>
  <c r="T369" i="1"/>
  <c r="S369" i="1"/>
  <c r="R369" i="1"/>
  <c r="Q369" i="1"/>
  <c r="P369" i="1"/>
  <c r="L369" i="1"/>
  <c r="M369" i="1" s="1"/>
  <c r="O369" i="1" s="1"/>
  <c r="T368" i="1"/>
  <c r="S368" i="1"/>
  <c r="R368" i="1"/>
  <c r="Q368" i="1"/>
  <c r="P368" i="1"/>
  <c r="M368" i="1"/>
  <c r="O368" i="1" s="1"/>
  <c r="L368" i="1"/>
  <c r="T367" i="1"/>
  <c r="S367" i="1"/>
  <c r="R367" i="1"/>
  <c r="Q367" i="1"/>
  <c r="P367" i="1"/>
  <c r="L367" i="1"/>
  <c r="M367" i="1" s="1"/>
  <c r="O367" i="1" s="1"/>
  <c r="T366" i="1"/>
  <c r="S366" i="1"/>
  <c r="R366" i="1"/>
  <c r="Q366" i="1"/>
  <c r="P366" i="1"/>
  <c r="M366" i="1"/>
  <c r="N366" i="1" s="1"/>
  <c r="L366" i="1"/>
  <c r="T365" i="1"/>
  <c r="S365" i="1"/>
  <c r="R365" i="1"/>
  <c r="Q365" i="1"/>
  <c r="P365" i="1"/>
  <c r="M365" i="1"/>
  <c r="L365" i="1"/>
  <c r="T364" i="1"/>
  <c r="S364" i="1"/>
  <c r="R364" i="1"/>
  <c r="Q364" i="1"/>
  <c r="P364" i="1"/>
  <c r="M364" i="1"/>
  <c r="L364" i="1"/>
  <c r="T363" i="1"/>
  <c r="S363" i="1"/>
  <c r="R363" i="1"/>
  <c r="Q363" i="1"/>
  <c r="P363" i="1"/>
  <c r="N363" i="1"/>
  <c r="L363" i="1"/>
  <c r="M363" i="1" s="1"/>
  <c r="O363" i="1" s="1"/>
  <c r="T362" i="1"/>
  <c r="S362" i="1"/>
  <c r="R362" i="1"/>
  <c r="Q362" i="1"/>
  <c r="P362" i="1"/>
  <c r="N362" i="1"/>
  <c r="M362" i="1"/>
  <c r="O362" i="1" s="1"/>
  <c r="L362" i="1"/>
  <c r="T361" i="1"/>
  <c r="S361" i="1"/>
  <c r="R361" i="1"/>
  <c r="Q361" i="1"/>
  <c r="P361" i="1"/>
  <c r="L361" i="1"/>
  <c r="M361" i="1" s="1"/>
  <c r="T360" i="1"/>
  <c r="S360" i="1"/>
  <c r="R360" i="1"/>
  <c r="Q360" i="1"/>
  <c r="P360" i="1"/>
  <c r="O360" i="1"/>
  <c r="M360" i="1"/>
  <c r="N360" i="1" s="1"/>
  <c r="L360" i="1"/>
  <c r="T359" i="1"/>
  <c r="S359" i="1"/>
  <c r="R359" i="1"/>
  <c r="Q359" i="1"/>
  <c r="P359" i="1"/>
  <c r="L359" i="1"/>
  <c r="M359" i="1" s="1"/>
  <c r="T358" i="1"/>
  <c r="S358" i="1"/>
  <c r="R358" i="1"/>
  <c r="Q358" i="1"/>
  <c r="P358" i="1"/>
  <c r="O358" i="1"/>
  <c r="L358" i="1"/>
  <c r="M358" i="1" s="1"/>
  <c r="N358" i="1" s="1"/>
  <c r="T357" i="1"/>
  <c r="S357" i="1"/>
  <c r="R357" i="1"/>
  <c r="Q357" i="1"/>
  <c r="P357" i="1"/>
  <c r="O357" i="1"/>
  <c r="N357" i="1"/>
  <c r="L357" i="1"/>
  <c r="M357" i="1" s="1"/>
  <c r="T356" i="1"/>
  <c r="S356" i="1"/>
  <c r="R356" i="1"/>
  <c r="Q356" i="1"/>
  <c r="P356" i="1"/>
  <c r="L356" i="1"/>
  <c r="M356" i="1" s="1"/>
  <c r="N356" i="1" s="1"/>
  <c r="T355" i="1"/>
  <c r="S355" i="1"/>
  <c r="R355" i="1"/>
  <c r="Q355" i="1"/>
  <c r="P355" i="1"/>
  <c r="L355" i="1"/>
  <c r="M355" i="1" s="1"/>
  <c r="O355" i="1" s="1"/>
  <c r="T354" i="1"/>
  <c r="S354" i="1"/>
  <c r="R354" i="1"/>
  <c r="Q354" i="1"/>
  <c r="P354" i="1"/>
  <c r="O354" i="1"/>
  <c r="N354" i="1"/>
  <c r="M354" i="1"/>
  <c r="L354" i="1"/>
  <c r="T353" i="1"/>
  <c r="S353" i="1"/>
  <c r="R353" i="1"/>
  <c r="Q353" i="1"/>
  <c r="P353" i="1"/>
  <c r="L353" i="1"/>
  <c r="M353" i="1" s="1"/>
  <c r="O353" i="1" s="1"/>
  <c r="T352" i="1"/>
  <c r="S352" i="1"/>
  <c r="R352" i="1"/>
  <c r="Q352" i="1"/>
  <c r="P352" i="1"/>
  <c r="M352" i="1"/>
  <c r="N352" i="1" s="1"/>
  <c r="L352" i="1"/>
  <c r="T351" i="1"/>
  <c r="S351" i="1"/>
  <c r="R351" i="1"/>
  <c r="Q351" i="1"/>
  <c r="P351" i="1"/>
  <c r="O351" i="1"/>
  <c r="M351" i="1"/>
  <c r="N351" i="1" s="1"/>
  <c r="L351" i="1"/>
  <c r="T350" i="1"/>
  <c r="S350" i="1"/>
  <c r="R350" i="1"/>
  <c r="Q350" i="1"/>
  <c r="P350" i="1"/>
  <c r="M350" i="1"/>
  <c r="L350" i="1"/>
  <c r="T349" i="1"/>
  <c r="S349" i="1"/>
  <c r="R349" i="1"/>
  <c r="Q349" i="1"/>
  <c r="P349" i="1"/>
  <c r="N349" i="1"/>
  <c r="L349" i="1"/>
  <c r="M349" i="1" s="1"/>
  <c r="O349" i="1" s="1"/>
  <c r="T348" i="1"/>
  <c r="S348" i="1"/>
  <c r="R348" i="1"/>
  <c r="Q348" i="1"/>
  <c r="P348" i="1"/>
  <c r="M348" i="1"/>
  <c r="O348" i="1" s="1"/>
  <c r="L348" i="1"/>
  <c r="T347" i="1"/>
  <c r="S347" i="1"/>
  <c r="R347" i="1"/>
  <c r="Q347" i="1"/>
  <c r="P347" i="1"/>
  <c r="L347" i="1"/>
  <c r="M347" i="1" s="1"/>
  <c r="T346" i="1"/>
  <c r="S346" i="1"/>
  <c r="R346" i="1"/>
  <c r="Q346" i="1"/>
  <c r="P346" i="1"/>
  <c r="M346" i="1"/>
  <c r="N346" i="1" s="1"/>
  <c r="L346" i="1"/>
  <c r="T345" i="1"/>
  <c r="S345" i="1"/>
  <c r="R345" i="1"/>
  <c r="Q345" i="1"/>
  <c r="P345" i="1"/>
  <c r="M345" i="1"/>
  <c r="L345" i="1"/>
  <c r="T344" i="1"/>
  <c r="S344" i="1"/>
  <c r="R344" i="1"/>
  <c r="Q344" i="1"/>
  <c r="P344" i="1"/>
  <c r="O344" i="1"/>
  <c r="L344" i="1"/>
  <c r="M344" i="1" s="1"/>
  <c r="N344" i="1" s="1"/>
  <c r="T343" i="1"/>
  <c r="S343" i="1"/>
  <c r="R343" i="1"/>
  <c r="Q343" i="1"/>
  <c r="P343" i="1"/>
  <c r="L343" i="1"/>
  <c r="M343" i="1" s="1"/>
  <c r="O343" i="1" s="1"/>
  <c r="T342" i="1"/>
  <c r="S342" i="1"/>
  <c r="R342" i="1"/>
  <c r="Q342" i="1"/>
  <c r="P342" i="1"/>
  <c r="L342" i="1"/>
  <c r="M342" i="1" s="1"/>
  <c r="N342" i="1" s="1"/>
  <c r="T341" i="1"/>
  <c r="S341" i="1"/>
  <c r="R341" i="1"/>
  <c r="Q341" i="1"/>
  <c r="P341" i="1"/>
  <c r="L341" i="1"/>
  <c r="M341" i="1" s="1"/>
  <c r="O341" i="1" s="1"/>
  <c r="T340" i="1"/>
  <c r="S340" i="1"/>
  <c r="R340" i="1"/>
  <c r="Q340" i="1"/>
  <c r="P340" i="1"/>
  <c r="M340" i="1"/>
  <c r="N340" i="1" s="1"/>
  <c r="L340" i="1"/>
  <c r="T339" i="1"/>
  <c r="S339" i="1"/>
  <c r="R339" i="1"/>
  <c r="Q339" i="1"/>
  <c r="P339" i="1"/>
  <c r="L339" i="1"/>
  <c r="M339" i="1" s="1"/>
  <c r="O339" i="1" s="1"/>
  <c r="T338" i="1"/>
  <c r="S338" i="1"/>
  <c r="R338" i="1"/>
  <c r="Q338" i="1"/>
  <c r="P338" i="1"/>
  <c r="M338" i="1"/>
  <c r="N338" i="1" s="1"/>
  <c r="L338" i="1"/>
  <c r="T337" i="1"/>
  <c r="S337" i="1"/>
  <c r="R337" i="1"/>
  <c r="Q337" i="1"/>
  <c r="P337" i="1"/>
  <c r="M337" i="1"/>
  <c r="L337" i="1"/>
  <c r="T336" i="1"/>
  <c r="S336" i="1"/>
  <c r="R336" i="1"/>
  <c r="Q336" i="1"/>
  <c r="P336" i="1"/>
  <c r="M336" i="1"/>
  <c r="L336" i="1"/>
  <c r="T335" i="1"/>
  <c r="S335" i="1"/>
  <c r="R335" i="1"/>
  <c r="Q335" i="1"/>
  <c r="P335" i="1"/>
  <c r="N335" i="1"/>
  <c r="L335" i="1"/>
  <c r="M335" i="1" s="1"/>
  <c r="O335" i="1" s="1"/>
  <c r="T334" i="1"/>
  <c r="S334" i="1"/>
  <c r="R334" i="1"/>
  <c r="Q334" i="1"/>
  <c r="P334" i="1"/>
  <c r="N334" i="1"/>
  <c r="M334" i="1"/>
  <c r="O334" i="1" s="1"/>
  <c r="L334" i="1"/>
  <c r="T333" i="1"/>
  <c r="S333" i="1"/>
  <c r="R333" i="1"/>
  <c r="Q333" i="1"/>
  <c r="P333" i="1"/>
  <c r="L333" i="1"/>
  <c r="M333" i="1" s="1"/>
  <c r="T332" i="1"/>
  <c r="S332" i="1"/>
  <c r="R332" i="1"/>
  <c r="Q332" i="1"/>
  <c r="P332" i="1"/>
  <c r="O332" i="1"/>
  <c r="M332" i="1"/>
  <c r="N332" i="1" s="1"/>
  <c r="L332" i="1"/>
  <c r="T331" i="1"/>
  <c r="S331" i="1"/>
  <c r="R331" i="1"/>
  <c r="Q331" i="1"/>
  <c r="P331" i="1"/>
  <c r="L331" i="1"/>
  <c r="M331" i="1" s="1"/>
  <c r="T330" i="1"/>
  <c r="S330" i="1"/>
  <c r="R330" i="1"/>
  <c r="Q330" i="1"/>
  <c r="P330" i="1"/>
  <c r="O330" i="1"/>
  <c r="L330" i="1"/>
  <c r="M330" i="1" s="1"/>
  <c r="N330" i="1" s="1"/>
  <c r="T329" i="1"/>
  <c r="S329" i="1"/>
  <c r="R329" i="1"/>
  <c r="Q329" i="1"/>
  <c r="P329" i="1"/>
  <c r="L329" i="1"/>
  <c r="M329" i="1" s="1"/>
  <c r="O329" i="1" s="1"/>
  <c r="T328" i="1"/>
  <c r="S328" i="1"/>
  <c r="R328" i="1"/>
  <c r="Q328" i="1"/>
  <c r="P328" i="1"/>
  <c r="L328" i="1"/>
  <c r="M328" i="1" s="1"/>
  <c r="N328" i="1" s="1"/>
  <c r="T327" i="1"/>
  <c r="S327" i="1"/>
  <c r="R327" i="1"/>
  <c r="Q327" i="1"/>
  <c r="P327" i="1"/>
  <c r="L327" i="1"/>
  <c r="M327" i="1" s="1"/>
  <c r="O327" i="1" s="1"/>
  <c r="T326" i="1"/>
  <c r="S326" i="1"/>
  <c r="R326" i="1"/>
  <c r="Q326" i="1"/>
  <c r="P326" i="1"/>
  <c r="O326" i="1"/>
  <c r="N326" i="1"/>
  <c r="M326" i="1"/>
  <c r="L326" i="1"/>
  <c r="T325" i="1"/>
  <c r="S325" i="1"/>
  <c r="R325" i="1"/>
  <c r="Q325" i="1"/>
  <c r="P325" i="1"/>
  <c r="L325" i="1"/>
  <c r="M325" i="1" s="1"/>
  <c r="O325" i="1" s="1"/>
  <c r="T324" i="1"/>
  <c r="S324" i="1"/>
  <c r="R324" i="1"/>
  <c r="Q324" i="1"/>
  <c r="P324" i="1"/>
  <c r="M324" i="1"/>
  <c r="N324" i="1" s="1"/>
  <c r="L324" i="1"/>
  <c r="T323" i="1"/>
  <c r="S323" i="1"/>
  <c r="R323" i="1"/>
  <c r="Q323" i="1"/>
  <c r="P323" i="1"/>
  <c r="O323" i="1"/>
  <c r="M323" i="1"/>
  <c r="N323" i="1" s="1"/>
  <c r="L323" i="1"/>
  <c r="T322" i="1"/>
  <c r="S322" i="1"/>
  <c r="R322" i="1"/>
  <c r="Q322" i="1"/>
  <c r="P322" i="1"/>
  <c r="M322" i="1"/>
  <c r="L322" i="1"/>
  <c r="T321" i="1"/>
  <c r="S321" i="1"/>
  <c r="R321" i="1"/>
  <c r="Q321" i="1"/>
  <c r="P321" i="1"/>
  <c r="N321" i="1"/>
  <c r="L321" i="1"/>
  <c r="M321" i="1" s="1"/>
  <c r="O321" i="1" s="1"/>
  <c r="T320" i="1"/>
  <c r="S320" i="1"/>
  <c r="R320" i="1"/>
  <c r="Q320" i="1"/>
  <c r="P320" i="1"/>
  <c r="L320" i="1"/>
  <c r="M320" i="1" s="1"/>
  <c r="T319" i="1"/>
  <c r="S319" i="1"/>
  <c r="R319" i="1"/>
  <c r="Q319" i="1"/>
  <c r="P319" i="1"/>
  <c r="L319" i="1"/>
  <c r="M319" i="1" s="1"/>
  <c r="T318" i="1"/>
  <c r="S318" i="1"/>
  <c r="R318" i="1"/>
  <c r="Q318" i="1"/>
  <c r="P318" i="1"/>
  <c r="O318" i="1"/>
  <c r="M318" i="1"/>
  <c r="N318" i="1" s="1"/>
  <c r="L318" i="1"/>
  <c r="T317" i="1"/>
  <c r="S317" i="1"/>
  <c r="R317" i="1"/>
  <c r="Q317" i="1"/>
  <c r="P317" i="1"/>
  <c r="M317" i="1"/>
  <c r="L317" i="1"/>
  <c r="T316" i="1"/>
  <c r="S316" i="1"/>
  <c r="R316" i="1"/>
  <c r="Q316" i="1"/>
  <c r="P316" i="1"/>
  <c r="L316" i="1"/>
  <c r="M316" i="1" s="1"/>
  <c r="N316" i="1" s="1"/>
  <c r="T315" i="1"/>
  <c r="S315" i="1"/>
  <c r="R315" i="1"/>
  <c r="Q315" i="1"/>
  <c r="P315" i="1"/>
  <c r="L315" i="1"/>
  <c r="M315" i="1" s="1"/>
  <c r="O315" i="1" s="1"/>
  <c r="T314" i="1"/>
  <c r="S314" i="1"/>
  <c r="R314" i="1"/>
  <c r="Q314" i="1"/>
  <c r="P314" i="1"/>
  <c r="O314" i="1"/>
  <c r="L314" i="1"/>
  <c r="M314" i="1" s="1"/>
  <c r="N314" i="1" s="1"/>
  <c r="T313" i="1"/>
  <c r="S313" i="1"/>
  <c r="R313" i="1"/>
  <c r="Q313" i="1"/>
  <c r="P313" i="1"/>
  <c r="L313" i="1"/>
  <c r="M313" i="1" s="1"/>
  <c r="O313" i="1" s="1"/>
  <c r="T312" i="1"/>
  <c r="S312" i="1"/>
  <c r="R312" i="1"/>
  <c r="Q312" i="1"/>
  <c r="P312" i="1"/>
  <c r="O312" i="1"/>
  <c r="N312" i="1"/>
  <c r="M312" i="1"/>
  <c r="L312" i="1"/>
  <c r="T311" i="1"/>
  <c r="S311" i="1"/>
  <c r="R311" i="1"/>
  <c r="Q311" i="1"/>
  <c r="P311" i="1"/>
  <c r="L311" i="1"/>
  <c r="M311" i="1" s="1"/>
  <c r="O311" i="1" s="1"/>
  <c r="T310" i="1"/>
  <c r="S310" i="1"/>
  <c r="R310" i="1"/>
  <c r="Q310" i="1"/>
  <c r="P310" i="1"/>
  <c r="O310" i="1"/>
  <c r="M310" i="1"/>
  <c r="N310" i="1" s="1"/>
  <c r="L310" i="1"/>
  <c r="T309" i="1"/>
  <c r="S309" i="1"/>
  <c r="R309" i="1"/>
  <c r="Q309" i="1"/>
  <c r="P309" i="1"/>
  <c r="L309" i="1"/>
  <c r="M309" i="1" s="1"/>
  <c r="T308" i="1"/>
  <c r="S308" i="1"/>
  <c r="R308" i="1"/>
  <c r="Q308" i="1"/>
  <c r="P308" i="1"/>
  <c r="M308" i="1"/>
  <c r="L308" i="1"/>
  <c r="T307" i="1"/>
  <c r="S307" i="1"/>
  <c r="R307" i="1"/>
  <c r="Q307" i="1"/>
  <c r="P307" i="1"/>
  <c r="L307" i="1"/>
  <c r="M307" i="1" s="1"/>
  <c r="O307" i="1" s="1"/>
  <c r="T306" i="1"/>
  <c r="S306" i="1"/>
  <c r="R306" i="1"/>
  <c r="Q306" i="1"/>
  <c r="P306" i="1"/>
  <c r="N306" i="1"/>
  <c r="M306" i="1"/>
  <c r="O306" i="1" s="1"/>
  <c r="L306" i="1"/>
  <c r="T305" i="1"/>
  <c r="S305" i="1"/>
  <c r="R305" i="1"/>
  <c r="Q305" i="1"/>
  <c r="P305" i="1"/>
  <c r="L305" i="1"/>
  <c r="M305" i="1" s="1"/>
  <c r="T304" i="1"/>
  <c r="S304" i="1"/>
  <c r="R304" i="1"/>
  <c r="Q304" i="1"/>
  <c r="P304" i="1"/>
  <c r="O304" i="1"/>
  <c r="M304" i="1"/>
  <c r="N304" i="1" s="1"/>
  <c r="L304" i="1"/>
  <c r="T303" i="1"/>
  <c r="S303" i="1"/>
  <c r="R303" i="1"/>
  <c r="Q303" i="1"/>
  <c r="P303" i="1"/>
  <c r="L303" i="1"/>
  <c r="M303" i="1" s="1"/>
  <c r="T302" i="1"/>
  <c r="S302" i="1"/>
  <c r="R302" i="1"/>
  <c r="Q302" i="1"/>
  <c r="P302" i="1"/>
  <c r="O302" i="1"/>
  <c r="M302" i="1"/>
  <c r="N302" i="1" s="1"/>
  <c r="L302" i="1"/>
  <c r="T301" i="1"/>
  <c r="S301" i="1"/>
  <c r="R301" i="1"/>
  <c r="Q301" i="1"/>
  <c r="P301" i="1"/>
  <c r="O301" i="1"/>
  <c r="L301" i="1"/>
  <c r="M301" i="1" s="1"/>
  <c r="N301" i="1" s="1"/>
  <c r="T300" i="1"/>
  <c r="S300" i="1"/>
  <c r="R300" i="1"/>
  <c r="Q300" i="1"/>
  <c r="P300" i="1"/>
  <c r="O300" i="1"/>
  <c r="L300" i="1"/>
  <c r="M300" i="1" s="1"/>
  <c r="N300" i="1" s="1"/>
  <c r="T299" i="1"/>
  <c r="S299" i="1"/>
  <c r="R299" i="1"/>
  <c r="Q299" i="1"/>
  <c r="P299" i="1"/>
  <c r="L299" i="1"/>
  <c r="M299" i="1" s="1"/>
  <c r="O299" i="1" s="1"/>
  <c r="T298" i="1"/>
  <c r="S298" i="1"/>
  <c r="R298" i="1"/>
  <c r="Q298" i="1"/>
  <c r="P298" i="1"/>
  <c r="O298" i="1"/>
  <c r="M298" i="1"/>
  <c r="N298" i="1" s="1"/>
  <c r="L298" i="1"/>
  <c r="T297" i="1"/>
  <c r="S297" i="1"/>
  <c r="R297" i="1"/>
  <c r="Q297" i="1"/>
  <c r="P297" i="1"/>
  <c r="N297" i="1"/>
  <c r="L297" i="1"/>
  <c r="M297" i="1" s="1"/>
  <c r="O297" i="1" s="1"/>
  <c r="T296" i="1"/>
  <c r="S296" i="1"/>
  <c r="R296" i="1"/>
  <c r="Q296" i="1"/>
  <c r="P296" i="1"/>
  <c r="M296" i="1"/>
  <c r="N296" i="1" s="1"/>
  <c r="L296" i="1"/>
  <c r="T295" i="1"/>
  <c r="S295" i="1"/>
  <c r="R295" i="1"/>
  <c r="Q295" i="1"/>
  <c r="P295" i="1"/>
  <c r="O295" i="1"/>
  <c r="N295" i="1"/>
  <c r="M295" i="1"/>
  <c r="L295" i="1"/>
  <c r="T294" i="1"/>
  <c r="S294" i="1"/>
  <c r="R294" i="1"/>
  <c r="Q294" i="1"/>
  <c r="P294" i="1"/>
  <c r="M294" i="1"/>
  <c r="L294" i="1"/>
  <c r="T293" i="1"/>
  <c r="S293" i="1"/>
  <c r="R293" i="1"/>
  <c r="Q293" i="1"/>
  <c r="P293" i="1"/>
  <c r="N293" i="1"/>
  <c r="L293" i="1"/>
  <c r="M293" i="1" s="1"/>
  <c r="O293" i="1" s="1"/>
  <c r="T292" i="1"/>
  <c r="S292" i="1"/>
  <c r="R292" i="1"/>
  <c r="Q292" i="1"/>
  <c r="P292" i="1"/>
  <c r="L292" i="1"/>
  <c r="M292" i="1" s="1"/>
  <c r="T291" i="1"/>
  <c r="S291" i="1"/>
  <c r="R291" i="1"/>
  <c r="Q291" i="1"/>
  <c r="P291" i="1"/>
  <c r="L291" i="1"/>
  <c r="M291" i="1" s="1"/>
  <c r="T290" i="1"/>
  <c r="S290" i="1"/>
  <c r="R290" i="1"/>
  <c r="Q290" i="1"/>
  <c r="P290" i="1"/>
  <c r="O290" i="1"/>
  <c r="M290" i="1"/>
  <c r="N290" i="1" s="1"/>
  <c r="L290" i="1"/>
  <c r="T289" i="1"/>
  <c r="S289" i="1"/>
  <c r="R289" i="1"/>
  <c r="Q289" i="1"/>
  <c r="P289" i="1"/>
  <c r="L289" i="1"/>
  <c r="M289" i="1" s="1"/>
  <c r="T288" i="1"/>
  <c r="S288" i="1"/>
  <c r="R288" i="1"/>
  <c r="Q288" i="1"/>
  <c r="P288" i="1"/>
  <c r="O288" i="1"/>
  <c r="L288" i="1"/>
  <c r="M288" i="1" s="1"/>
  <c r="N288" i="1" s="1"/>
  <c r="T287" i="1"/>
  <c r="S287" i="1"/>
  <c r="R287" i="1"/>
  <c r="Q287" i="1"/>
  <c r="P287" i="1"/>
  <c r="O287" i="1"/>
  <c r="N287" i="1"/>
  <c r="L287" i="1"/>
  <c r="M287" i="1" s="1"/>
  <c r="T286" i="1"/>
  <c r="S286" i="1"/>
  <c r="R286" i="1"/>
  <c r="Q286" i="1"/>
  <c r="P286" i="1"/>
  <c r="L286" i="1"/>
  <c r="M286" i="1" s="1"/>
  <c r="N286" i="1" s="1"/>
  <c r="T285" i="1"/>
  <c r="S285" i="1"/>
  <c r="R285" i="1"/>
  <c r="Q285" i="1"/>
  <c r="P285" i="1"/>
  <c r="N285" i="1"/>
  <c r="L285" i="1"/>
  <c r="M285" i="1" s="1"/>
  <c r="O285" i="1" s="1"/>
  <c r="T284" i="1"/>
  <c r="S284" i="1"/>
  <c r="R284" i="1"/>
  <c r="Q284" i="1"/>
  <c r="P284" i="1"/>
  <c r="M284" i="1"/>
  <c r="N284" i="1" s="1"/>
  <c r="L284" i="1"/>
  <c r="T283" i="1"/>
  <c r="S283" i="1"/>
  <c r="R283" i="1"/>
  <c r="Q283" i="1"/>
  <c r="P283" i="1"/>
  <c r="L283" i="1"/>
  <c r="M283" i="1" s="1"/>
  <c r="O283" i="1" s="1"/>
  <c r="T282" i="1"/>
  <c r="S282" i="1"/>
  <c r="R282" i="1"/>
  <c r="Q282" i="1"/>
  <c r="P282" i="1"/>
  <c r="O282" i="1"/>
  <c r="M282" i="1"/>
  <c r="N282" i="1" s="1"/>
  <c r="L282" i="1"/>
  <c r="T281" i="1"/>
  <c r="S281" i="1"/>
  <c r="R281" i="1"/>
  <c r="Q281" i="1"/>
  <c r="P281" i="1"/>
  <c r="L281" i="1"/>
  <c r="M281" i="1" s="1"/>
  <c r="T280" i="1"/>
  <c r="S280" i="1"/>
  <c r="R280" i="1"/>
  <c r="Q280" i="1"/>
  <c r="P280" i="1"/>
  <c r="M280" i="1"/>
  <c r="L280" i="1"/>
  <c r="T279" i="1"/>
  <c r="S279" i="1"/>
  <c r="R279" i="1"/>
  <c r="Q279" i="1"/>
  <c r="P279" i="1"/>
  <c r="L279" i="1"/>
  <c r="M279" i="1" s="1"/>
  <c r="O279" i="1" s="1"/>
  <c r="T278" i="1"/>
  <c r="S278" i="1"/>
  <c r="R278" i="1"/>
  <c r="Q278" i="1"/>
  <c r="P278" i="1"/>
  <c r="L278" i="1"/>
  <c r="M278" i="1" s="1"/>
  <c r="T277" i="1"/>
  <c r="S277" i="1"/>
  <c r="R277" i="1"/>
  <c r="Q277" i="1"/>
  <c r="P277" i="1"/>
  <c r="L277" i="1"/>
  <c r="M277" i="1" s="1"/>
  <c r="T276" i="1"/>
  <c r="S276" i="1"/>
  <c r="R276" i="1"/>
  <c r="Q276" i="1"/>
  <c r="P276" i="1"/>
  <c r="O276" i="1"/>
  <c r="M276" i="1"/>
  <c r="N276" i="1" s="1"/>
  <c r="L276" i="1"/>
  <c r="T275" i="1"/>
  <c r="S275" i="1"/>
  <c r="R275" i="1"/>
  <c r="Q275" i="1"/>
  <c r="P275" i="1"/>
  <c r="M275" i="1"/>
  <c r="L275" i="1"/>
  <c r="T274" i="1"/>
  <c r="S274" i="1"/>
  <c r="R274" i="1"/>
  <c r="Q274" i="1"/>
  <c r="P274" i="1"/>
  <c r="L274" i="1"/>
  <c r="M274" i="1" s="1"/>
  <c r="N274" i="1" s="1"/>
  <c r="T273" i="1"/>
  <c r="S273" i="1"/>
  <c r="R273" i="1"/>
  <c r="Q273" i="1"/>
  <c r="P273" i="1"/>
  <c r="O273" i="1"/>
  <c r="N273" i="1"/>
  <c r="L273" i="1"/>
  <c r="M273" i="1" s="1"/>
  <c r="T272" i="1"/>
  <c r="S272" i="1"/>
  <c r="R272" i="1"/>
  <c r="Q272" i="1"/>
  <c r="P272" i="1"/>
  <c r="O272" i="1"/>
  <c r="L272" i="1"/>
  <c r="M272" i="1" s="1"/>
  <c r="N272" i="1" s="1"/>
  <c r="T271" i="1"/>
  <c r="S271" i="1"/>
  <c r="R271" i="1"/>
  <c r="Q271" i="1"/>
  <c r="P271" i="1"/>
  <c r="N271" i="1"/>
  <c r="L271" i="1"/>
  <c r="M271" i="1" s="1"/>
  <c r="O271" i="1" s="1"/>
  <c r="T270" i="1"/>
  <c r="S270" i="1"/>
  <c r="R270" i="1"/>
  <c r="Q270" i="1"/>
  <c r="P270" i="1"/>
  <c r="O270" i="1"/>
  <c r="M270" i="1"/>
  <c r="N270" i="1" s="1"/>
  <c r="L270" i="1"/>
  <c r="T269" i="1"/>
  <c r="S269" i="1"/>
  <c r="R269" i="1"/>
  <c r="Q269" i="1"/>
  <c r="P269" i="1"/>
  <c r="N269" i="1"/>
  <c r="L269" i="1"/>
  <c r="M269" i="1" s="1"/>
  <c r="O269" i="1" s="1"/>
  <c r="T268" i="1"/>
  <c r="S268" i="1"/>
  <c r="R268" i="1"/>
  <c r="Q268" i="1"/>
  <c r="P268" i="1"/>
  <c r="M268" i="1"/>
  <c r="N268" i="1" s="1"/>
  <c r="L268" i="1"/>
  <c r="T267" i="1"/>
  <c r="S267" i="1"/>
  <c r="R267" i="1"/>
  <c r="Q267" i="1"/>
  <c r="P267" i="1"/>
  <c r="O267" i="1"/>
  <c r="N267" i="1"/>
  <c r="M267" i="1"/>
  <c r="L267" i="1"/>
  <c r="T266" i="1"/>
  <c r="S266" i="1"/>
  <c r="R266" i="1"/>
  <c r="Q266" i="1"/>
  <c r="P266" i="1"/>
  <c r="M266" i="1"/>
  <c r="L266" i="1"/>
  <c r="T265" i="1"/>
  <c r="S265" i="1"/>
  <c r="R265" i="1"/>
  <c r="Q265" i="1"/>
  <c r="P265" i="1"/>
  <c r="N265" i="1"/>
  <c r="L265" i="1"/>
  <c r="M265" i="1" s="1"/>
  <c r="O265" i="1" s="1"/>
  <c r="T264" i="1"/>
  <c r="S264" i="1"/>
  <c r="R264" i="1"/>
  <c r="Q264" i="1"/>
  <c r="P264" i="1"/>
  <c r="M264" i="1"/>
  <c r="O264" i="1" s="1"/>
  <c r="L264" i="1"/>
  <c r="T263" i="1"/>
  <c r="S263" i="1"/>
  <c r="R263" i="1"/>
  <c r="Q263" i="1"/>
  <c r="P263" i="1"/>
  <c r="L263" i="1"/>
  <c r="M263" i="1" s="1"/>
  <c r="T262" i="1"/>
  <c r="S262" i="1"/>
  <c r="R262" i="1"/>
  <c r="Q262" i="1"/>
  <c r="P262" i="1"/>
  <c r="M262" i="1"/>
  <c r="N262" i="1" s="1"/>
  <c r="L262" i="1"/>
  <c r="T261" i="1"/>
  <c r="S261" i="1"/>
  <c r="R261" i="1"/>
  <c r="Q261" i="1"/>
  <c r="P261" i="1"/>
  <c r="L261" i="1"/>
  <c r="M261" i="1" s="1"/>
  <c r="T260" i="1"/>
  <c r="S260" i="1"/>
  <c r="R260" i="1"/>
  <c r="Q260" i="1"/>
  <c r="P260" i="1"/>
  <c r="L260" i="1"/>
  <c r="M260" i="1" s="1"/>
  <c r="N260" i="1" s="1"/>
  <c r="T259" i="1"/>
  <c r="S259" i="1"/>
  <c r="R259" i="1"/>
  <c r="Q259" i="1"/>
  <c r="P259" i="1"/>
  <c r="O259" i="1"/>
  <c r="N259" i="1"/>
  <c r="L259" i="1"/>
  <c r="M259" i="1" s="1"/>
  <c r="T258" i="1"/>
  <c r="S258" i="1"/>
  <c r="R258" i="1"/>
  <c r="Q258" i="1"/>
  <c r="P258" i="1"/>
  <c r="O258" i="1"/>
  <c r="L258" i="1"/>
  <c r="M258" i="1" s="1"/>
  <c r="N258" i="1" s="1"/>
  <c r="T257" i="1"/>
  <c r="S257" i="1"/>
  <c r="R257" i="1"/>
  <c r="Q257" i="1"/>
  <c r="P257" i="1"/>
  <c r="N257" i="1"/>
  <c r="L257" i="1"/>
  <c r="M257" i="1" s="1"/>
  <c r="O257" i="1" s="1"/>
  <c r="T256" i="1"/>
  <c r="S256" i="1"/>
  <c r="R256" i="1"/>
  <c r="Q256" i="1"/>
  <c r="P256" i="1"/>
  <c r="O256" i="1"/>
  <c r="M256" i="1"/>
  <c r="N256" i="1" s="1"/>
  <c r="L256" i="1"/>
  <c r="T255" i="1"/>
  <c r="S255" i="1"/>
  <c r="R255" i="1"/>
  <c r="Q255" i="1"/>
  <c r="P255" i="1"/>
  <c r="L255" i="1"/>
  <c r="M255" i="1" s="1"/>
  <c r="O255" i="1" s="1"/>
  <c r="T254" i="1"/>
  <c r="S254" i="1"/>
  <c r="R254" i="1"/>
  <c r="Q254" i="1"/>
  <c r="P254" i="1"/>
  <c r="O254" i="1"/>
  <c r="M254" i="1"/>
  <c r="N254" i="1" s="1"/>
  <c r="L254" i="1"/>
  <c r="T253" i="1"/>
  <c r="S253" i="1"/>
  <c r="R253" i="1"/>
  <c r="Q253" i="1"/>
  <c r="P253" i="1"/>
  <c r="M253" i="1"/>
  <c r="O253" i="1" s="1"/>
  <c r="L253" i="1"/>
  <c r="T252" i="1"/>
  <c r="S252" i="1"/>
  <c r="R252" i="1"/>
  <c r="Q252" i="1"/>
  <c r="P252" i="1"/>
  <c r="M252" i="1"/>
  <c r="L252" i="1"/>
  <c r="T251" i="1"/>
  <c r="S251" i="1"/>
  <c r="R251" i="1"/>
  <c r="Q251" i="1"/>
  <c r="P251" i="1"/>
  <c r="N251" i="1"/>
  <c r="L251" i="1"/>
  <c r="M251" i="1" s="1"/>
  <c r="O251" i="1" s="1"/>
  <c r="T250" i="1"/>
  <c r="S250" i="1"/>
  <c r="R250" i="1"/>
  <c r="Q250" i="1"/>
  <c r="P250" i="1"/>
  <c r="L250" i="1"/>
  <c r="M250" i="1" s="1"/>
  <c r="T249" i="1"/>
  <c r="S249" i="1"/>
  <c r="R249" i="1"/>
  <c r="Q249" i="1"/>
  <c r="P249" i="1"/>
  <c r="L249" i="1"/>
  <c r="M249" i="1" s="1"/>
  <c r="T248" i="1"/>
  <c r="S248" i="1"/>
  <c r="R248" i="1"/>
  <c r="Q248" i="1"/>
  <c r="P248" i="1"/>
  <c r="O248" i="1"/>
  <c r="M248" i="1"/>
  <c r="N248" i="1" s="1"/>
  <c r="L248" i="1"/>
  <c r="T247" i="1"/>
  <c r="S247" i="1"/>
  <c r="R247" i="1"/>
  <c r="Q247" i="1"/>
  <c r="P247" i="1"/>
  <c r="L247" i="1"/>
  <c r="M247" i="1" s="1"/>
  <c r="T246" i="1"/>
  <c r="S246" i="1"/>
  <c r="R246" i="1"/>
  <c r="Q246" i="1"/>
  <c r="P246" i="1"/>
  <c r="L246" i="1"/>
  <c r="M246" i="1" s="1"/>
  <c r="T245" i="1"/>
  <c r="S245" i="1"/>
  <c r="R245" i="1"/>
  <c r="Q245" i="1"/>
  <c r="P245" i="1"/>
  <c r="L245" i="1"/>
  <c r="M245" i="1" s="1"/>
  <c r="N245" i="1" s="1"/>
  <c r="T244" i="1"/>
  <c r="S244" i="1"/>
  <c r="R244" i="1"/>
  <c r="Q244" i="1"/>
  <c r="P244" i="1"/>
  <c r="O244" i="1"/>
  <c r="L244" i="1"/>
  <c r="M244" i="1" s="1"/>
  <c r="N244" i="1" s="1"/>
  <c r="T243" i="1"/>
  <c r="S243" i="1"/>
  <c r="R243" i="1"/>
  <c r="Q243" i="1"/>
  <c r="P243" i="1"/>
  <c r="O243" i="1"/>
  <c r="N243" i="1"/>
  <c r="L243" i="1"/>
  <c r="M243" i="1" s="1"/>
  <c r="T242" i="1"/>
  <c r="S242" i="1"/>
  <c r="R242" i="1"/>
  <c r="Q242" i="1"/>
  <c r="P242" i="1"/>
  <c r="M242" i="1"/>
  <c r="O242" i="1" s="1"/>
  <c r="L242" i="1"/>
  <c r="T241" i="1"/>
  <c r="S241" i="1"/>
  <c r="R241" i="1"/>
  <c r="Q241" i="1"/>
  <c r="P241" i="1"/>
  <c r="L241" i="1"/>
  <c r="M241" i="1" s="1"/>
  <c r="O241" i="1" s="1"/>
  <c r="T240" i="1"/>
  <c r="S240" i="1"/>
  <c r="R240" i="1"/>
  <c r="Q240" i="1"/>
  <c r="P240" i="1"/>
  <c r="M240" i="1"/>
  <c r="O240" i="1" s="1"/>
  <c r="L240" i="1"/>
  <c r="T239" i="1"/>
  <c r="S239" i="1"/>
  <c r="R239" i="1"/>
  <c r="Q239" i="1"/>
  <c r="P239" i="1"/>
  <c r="M239" i="1"/>
  <c r="L239" i="1"/>
  <c r="T238" i="1"/>
  <c r="S238" i="1"/>
  <c r="R238" i="1"/>
  <c r="Q238" i="1"/>
  <c r="P238" i="1"/>
  <c r="M238" i="1"/>
  <c r="L238" i="1"/>
  <c r="T237" i="1"/>
  <c r="S237" i="1"/>
  <c r="R237" i="1"/>
  <c r="Q237" i="1"/>
  <c r="P237" i="1"/>
  <c r="N237" i="1"/>
  <c r="M237" i="1"/>
  <c r="O237" i="1" s="1"/>
  <c r="L237" i="1"/>
  <c r="T236" i="1"/>
  <c r="S236" i="1"/>
  <c r="R236" i="1"/>
  <c r="Q236" i="1"/>
  <c r="P236" i="1"/>
  <c r="M236" i="1"/>
  <c r="O236" i="1" s="1"/>
  <c r="L236" i="1"/>
  <c r="T235" i="1"/>
  <c r="S235" i="1"/>
  <c r="R235" i="1"/>
  <c r="Q235" i="1"/>
  <c r="P235" i="1"/>
  <c r="L235" i="1"/>
  <c r="M235" i="1" s="1"/>
  <c r="T234" i="1"/>
  <c r="S234" i="1"/>
  <c r="R234" i="1"/>
  <c r="Q234" i="1"/>
  <c r="P234" i="1"/>
  <c r="M234" i="1"/>
  <c r="N234" i="1" s="1"/>
  <c r="L234" i="1"/>
  <c r="T233" i="1"/>
  <c r="S233" i="1"/>
  <c r="R233" i="1"/>
  <c r="Q233" i="1"/>
  <c r="P233" i="1"/>
  <c r="L233" i="1"/>
  <c r="M233" i="1" s="1"/>
  <c r="T232" i="1"/>
  <c r="S232" i="1"/>
  <c r="R232" i="1"/>
  <c r="Q232" i="1"/>
  <c r="P232" i="1"/>
  <c r="O232" i="1"/>
  <c r="L232" i="1"/>
  <c r="M232" i="1" s="1"/>
  <c r="N232" i="1" s="1"/>
  <c r="T231" i="1"/>
  <c r="S231" i="1"/>
  <c r="R231" i="1"/>
  <c r="Q231" i="1"/>
  <c r="P231" i="1"/>
  <c r="L231" i="1"/>
  <c r="M231" i="1" s="1"/>
  <c r="T230" i="1"/>
  <c r="S230" i="1"/>
  <c r="R230" i="1"/>
  <c r="Q230" i="1"/>
  <c r="P230" i="1"/>
  <c r="O230" i="1"/>
  <c r="L230" i="1"/>
  <c r="M230" i="1" s="1"/>
  <c r="N230" i="1" s="1"/>
  <c r="T229" i="1"/>
  <c r="S229" i="1"/>
  <c r="R229" i="1"/>
  <c r="Q229" i="1"/>
  <c r="P229" i="1"/>
  <c r="N229" i="1"/>
  <c r="L229" i="1"/>
  <c r="M229" i="1" s="1"/>
  <c r="O229" i="1" s="1"/>
  <c r="T228" i="1"/>
  <c r="S228" i="1"/>
  <c r="R228" i="1"/>
  <c r="Q228" i="1"/>
  <c r="P228" i="1"/>
  <c r="M228" i="1"/>
  <c r="L228" i="1"/>
  <c r="T227" i="1"/>
  <c r="S227" i="1"/>
  <c r="R227" i="1"/>
  <c r="Q227" i="1"/>
  <c r="P227" i="1"/>
  <c r="N227" i="1"/>
  <c r="L227" i="1"/>
  <c r="M227" i="1" s="1"/>
  <c r="O227" i="1" s="1"/>
  <c r="T226" i="1"/>
  <c r="S226" i="1"/>
  <c r="R226" i="1"/>
  <c r="Q226" i="1"/>
  <c r="P226" i="1"/>
  <c r="O226" i="1"/>
  <c r="N226" i="1"/>
  <c r="M226" i="1"/>
  <c r="L226" i="1"/>
  <c r="T225" i="1"/>
  <c r="S225" i="1"/>
  <c r="R225" i="1"/>
  <c r="Q225" i="1"/>
  <c r="P225" i="1"/>
  <c r="O225" i="1"/>
  <c r="M225" i="1"/>
  <c r="N225" i="1" s="1"/>
  <c r="L225" i="1"/>
  <c r="T224" i="1"/>
  <c r="S224" i="1"/>
  <c r="R224" i="1"/>
  <c r="Q224" i="1"/>
  <c r="P224" i="1"/>
  <c r="M224" i="1"/>
  <c r="L224" i="1"/>
  <c r="T223" i="1"/>
  <c r="S223" i="1"/>
  <c r="R223" i="1"/>
  <c r="Q223" i="1"/>
  <c r="P223" i="1"/>
  <c r="L223" i="1"/>
  <c r="M223" i="1" s="1"/>
  <c r="T222" i="1"/>
  <c r="S222" i="1"/>
  <c r="R222" i="1"/>
  <c r="Q222" i="1"/>
  <c r="P222" i="1"/>
  <c r="L222" i="1"/>
  <c r="M222" i="1" s="1"/>
  <c r="T221" i="1"/>
  <c r="S221" i="1"/>
  <c r="R221" i="1"/>
  <c r="Q221" i="1"/>
  <c r="P221" i="1"/>
  <c r="L221" i="1"/>
  <c r="M221" i="1" s="1"/>
  <c r="T220" i="1"/>
  <c r="S220" i="1"/>
  <c r="R220" i="1"/>
  <c r="Q220" i="1"/>
  <c r="P220" i="1"/>
  <c r="L220" i="1"/>
  <c r="M220" i="1" s="1"/>
  <c r="T219" i="1"/>
  <c r="S219" i="1"/>
  <c r="R219" i="1"/>
  <c r="Q219" i="1"/>
  <c r="P219" i="1"/>
  <c r="M219" i="1"/>
  <c r="L219" i="1"/>
  <c r="T218" i="1"/>
  <c r="S218" i="1"/>
  <c r="R218" i="1"/>
  <c r="Q218" i="1"/>
  <c r="P218" i="1"/>
  <c r="L218" i="1"/>
  <c r="M218" i="1" s="1"/>
  <c r="N218" i="1" s="1"/>
  <c r="T217" i="1"/>
  <c r="S217" i="1"/>
  <c r="R217" i="1"/>
  <c r="Q217" i="1"/>
  <c r="P217" i="1"/>
  <c r="L217" i="1"/>
  <c r="M217" i="1" s="1"/>
  <c r="T216" i="1"/>
  <c r="S216" i="1"/>
  <c r="R216" i="1"/>
  <c r="Q216" i="1"/>
  <c r="P216" i="1"/>
  <c r="L216" i="1"/>
  <c r="M216" i="1" s="1"/>
  <c r="N216" i="1" s="1"/>
  <c r="T215" i="1"/>
  <c r="S215" i="1"/>
  <c r="R215" i="1"/>
  <c r="Q215" i="1"/>
  <c r="P215" i="1"/>
  <c r="N215" i="1"/>
  <c r="L215" i="1"/>
  <c r="M215" i="1" s="1"/>
  <c r="O215" i="1" s="1"/>
  <c r="T214" i="1"/>
  <c r="S214" i="1"/>
  <c r="R214" i="1"/>
  <c r="Q214" i="1"/>
  <c r="P214" i="1"/>
  <c r="L214" i="1"/>
  <c r="M214" i="1" s="1"/>
  <c r="T213" i="1"/>
  <c r="S213" i="1"/>
  <c r="R213" i="1"/>
  <c r="Q213" i="1"/>
  <c r="P213" i="1"/>
  <c r="L213" i="1"/>
  <c r="M213" i="1" s="1"/>
  <c r="O213" i="1" s="1"/>
  <c r="T212" i="1"/>
  <c r="S212" i="1"/>
  <c r="R212" i="1"/>
  <c r="Q212" i="1"/>
  <c r="P212" i="1"/>
  <c r="O212" i="1"/>
  <c r="N212" i="1"/>
  <c r="M212" i="1"/>
  <c r="L212" i="1"/>
  <c r="T211" i="1"/>
  <c r="S211" i="1"/>
  <c r="R211" i="1"/>
  <c r="Q211" i="1"/>
  <c r="P211" i="1"/>
  <c r="L211" i="1"/>
  <c r="M211" i="1" s="1"/>
  <c r="O211" i="1" s="1"/>
  <c r="T210" i="1"/>
  <c r="S210" i="1"/>
  <c r="R210" i="1"/>
  <c r="Q210" i="1"/>
  <c r="P210" i="1"/>
  <c r="M210" i="1"/>
  <c r="L210" i="1"/>
  <c r="T209" i="1"/>
  <c r="S209" i="1"/>
  <c r="R209" i="1"/>
  <c r="Q209" i="1"/>
  <c r="P209" i="1"/>
  <c r="O209" i="1"/>
  <c r="N209" i="1"/>
  <c r="M209" i="1"/>
  <c r="L209" i="1"/>
  <c r="T208" i="1"/>
  <c r="S208" i="1"/>
  <c r="R208" i="1"/>
  <c r="Q208" i="1"/>
  <c r="P208" i="1"/>
  <c r="M208" i="1"/>
  <c r="O208" i="1" s="1"/>
  <c r="L208" i="1"/>
  <c r="T207" i="1"/>
  <c r="S207" i="1"/>
  <c r="R207" i="1"/>
  <c r="Q207" i="1"/>
  <c r="P207" i="1"/>
  <c r="L207" i="1"/>
  <c r="M207" i="1" s="1"/>
  <c r="T206" i="1"/>
  <c r="S206" i="1"/>
  <c r="R206" i="1"/>
  <c r="Q206" i="1"/>
  <c r="P206" i="1"/>
  <c r="L206" i="1"/>
  <c r="M206" i="1" s="1"/>
  <c r="T205" i="1"/>
  <c r="S205" i="1"/>
  <c r="R205" i="1"/>
  <c r="Q205" i="1"/>
  <c r="P205" i="1"/>
  <c r="N205" i="1"/>
  <c r="M205" i="1"/>
  <c r="O205" i="1" s="1"/>
  <c r="L205" i="1"/>
  <c r="T204" i="1"/>
  <c r="S204" i="1"/>
  <c r="R204" i="1"/>
  <c r="Q204" i="1"/>
  <c r="P204" i="1"/>
  <c r="O204" i="1"/>
  <c r="L204" i="1"/>
  <c r="M204" i="1" s="1"/>
  <c r="N204" i="1" s="1"/>
  <c r="T203" i="1"/>
  <c r="S203" i="1"/>
  <c r="R203" i="1"/>
  <c r="Q203" i="1"/>
  <c r="P203" i="1"/>
  <c r="L203" i="1"/>
  <c r="M203" i="1" s="1"/>
  <c r="T202" i="1"/>
  <c r="S202" i="1"/>
  <c r="R202" i="1"/>
  <c r="Q202" i="1"/>
  <c r="P202" i="1"/>
  <c r="M202" i="1"/>
  <c r="N202" i="1" s="1"/>
  <c r="L202" i="1"/>
  <c r="T201" i="1"/>
  <c r="S201" i="1"/>
  <c r="R201" i="1"/>
  <c r="Q201" i="1"/>
  <c r="P201" i="1"/>
  <c r="N201" i="1"/>
  <c r="L201" i="1"/>
  <c r="M201" i="1" s="1"/>
  <c r="O201" i="1" s="1"/>
  <c r="T200" i="1"/>
  <c r="S200" i="1"/>
  <c r="R200" i="1"/>
  <c r="Q200" i="1"/>
  <c r="P200" i="1"/>
  <c r="M200" i="1"/>
  <c r="L200" i="1"/>
  <c r="T199" i="1"/>
  <c r="S199" i="1"/>
  <c r="R199" i="1"/>
  <c r="Q199" i="1"/>
  <c r="P199" i="1"/>
  <c r="N199" i="1"/>
  <c r="L199" i="1"/>
  <c r="M199" i="1" s="1"/>
  <c r="O199" i="1" s="1"/>
  <c r="T198" i="1"/>
  <c r="S198" i="1"/>
  <c r="R198" i="1"/>
  <c r="Q198" i="1"/>
  <c r="P198" i="1"/>
  <c r="O198" i="1"/>
  <c r="N198" i="1"/>
  <c r="M198" i="1"/>
  <c r="L198" i="1"/>
  <c r="T197" i="1"/>
  <c r="S197" i="1"/>
  <c r="R197" i="1"/>
  <c r="Q197" i="1"/>
  <c r="P197" i="1"/>
  <c r="O197" i="1"/>
  <c r="M197" i="1"/>
  <c r="N197" i="1" s="1"/>
  <c r="L197" i="1"/>
  <c r="T196" i="1"/>
  <c r="S196" i="1"/>
  <c r="R196" i="1"/>
  <c r="Q196" i="1"/>
  <c r="P196" i="1"/>
  <c r="M196" i="1"/>
  <c r="L196" i="1"/>
  <c r="T195" i="1"/>
  <c r="S195" i="1"/>
  <c r="R195" i="1"/>
  <c r="Q195" i="1"/>
  <c r="P195" i="1"/>
  <c r="L195" i="1"/>
  <c r="M195" i="1" s="1"/>
  <c r="T194" i="1"/>
  <c r="S194" i="1"/>
  <c r="R194" i="1"/>
  <c r="Q194" i="1"/>
  <c r="P194" i="1"/>
  <c r="L194" i="1"/>
  <c r="M194" i="1" s="1"/>
  <c r="T193" i="1"/>
  <c r="S193" i="1"/>
  <c r="R193" i="1"/>
  <c r="Q193" i="1"/>
  <c r="P193" i="1"/>
  <c r="L193" i="1"/>
  <c r="M193" i="1" s="1"/>
  <c r="T192" i="1"/>
  <c r="S192" i="1"/>
  <c r="R192" i="1"/>
  <c r="Q192" i="1"/>
  <c r="P192" i="1"/>
  <c r="M192" i="1"/>
  <c r="O192" i="1" s="1"/>
  <c r="L192" i="1"/>
  <c r="T191" i="1"/>
  <c r="S191" i="1"/>
  <c r="R191" i="1"/>
  <c r="Q191" i="1"/>
  <c r="P191" i="1"/>
  <c r="L191" i="1"/>
  <c r="M191" i="1" s="1"/>
  <c r="T190" i="1"/>
  <c r="S190" i="1"/>
  <c r="R190" i="1"/>
  <c r="Q190" i="1"/>
  <c r="P190" i="1"/>
  <c r="L190" i="1"/>
  <c r="M190" i="1" s="1"/>
  <c r="N190" i="1" s="1"/>
  <c r="T189" i="1"/>
  <c r="S189" i="1"/>
  <c r="R189" i="1"/>
  <c r="Q189" i="1"/>
  <c r="P189" i="1"/>
  <c r="L189" i="1"/>
  <c r="M189" i="1" s="1"/>
  <c r="T188" i="1"/>
  <c r="S188" i="1"/>
  <c r="R188" i="1"/>
  <c r="Q188" i="1"/>
  <c r="P188" i="1"/>
  <c r="L188" i="1"/>
  <c r="M188" i="1" s="1"/>
  <c r="T187" i="1"/>
  <c r="S187" i="1"/>
  <c r="R187" i="1"/>
  <c r="Q187" i="1"/>
  <c r="P187" i="1"/>
  <c r="O187" i="1"/>
  <c r="L187" i="1"/>
  <c r="M187" i="1" s="1"/>
  <c r="N187" i="1" s="1"/>
  <c r="T186" i="1"/>
  <c r="S186" i="1"/>
  <c r="R186" i="1"/>
  <c r="Q186" i="1"/>
  <c r="P186" i="1"/>
  <c r="L186" i="1"/>
  <c r="M186" i="1" s="1"/>
  <c r="N186" i="1" s="1"/>
  <c r="T185" i="1"/>
  <c r="S185" i="1"/>
  <c r="R185" i="1"/>
  <c r="Q185" i="1"/>
  <c r="P185" i="1"/>
  <c r="N185" i="1"/>
  <c r="L185" i="1"/>
  <c r="M185" i="1" s="1"/>
  <c r="O185" i="1" s="1"/>
  <c r="T184" i="1"/>
  <c r="S184" i="1"/>
  <c r="R184" i="1"/>
  <c r="Q184" i="1"/>
  <c r="P184" i="1"/>
  <c r="L184" i="1"/>
  <c r="M184" i="1" s="1"/>
  <c r="T183" i="1"/>
  <c r="S183" i="1"/>
  <c r="R183" i="1"/>
  <c r="Q183" i="1"/>
  <c r="P183" i="1"/>
  <c r="L183" i="1"/>
  <c r="M183" i="1" s="1"/>
  <c r="T182" i="1"/>
  <c r="S182" i="1"/>
  <c r="R182" i="1"/>
  <c r="Q182" i="1"/>
  <c r="P182" i="1"/>
  <c r="L182" i="1"/>
  <c r="M182" i="1" s="1"/>
  <c r="T181" i="1"/>
  <c r="S181" i="1"/>
  <c r="R181" i="1"/>
  <c r="Q181" i="1"/>
  <c r="P181" i="1"/>
  <c r="L181" i="1"/>
  <c r="M181" i="1" s="1"/>
  <c r="T180" i="1"/>
  <c r="S180" i="1"/>
  <c r="R180" i="1"/>
  <c r="Q180" i="1"/>
  <c r="P180" i="1"/>
  <c r="L180" i="1"/>
  <c r="M180" i="1" s="1"/>
  <c r="T179" i="1"/>
  <c r="S179" i="1"/>
  <c r="R179" i="1"/>
  <c r="Q179" i="1"/>
  <c r="P179" i="1"/>
  <c r="O179" i="1"/>
  <c r="M179" i="1"/>
  <c r="N179" i="1" s="1"/>
  <c r="L179" i="1"/>
  <c r="T178" i="1"/>
  <c r="S178" i="1"/>
  <c r="R178" i="1"/>
  <c r="Q178" i="1"/>
  <c r="P178" i="1"/>
  <c r="L178" i="1"/>
  <c r="M178" i="1" s="1"/>
  <c r="N178" i="1" s="1"/>
  <c r="T177" i="1"/>
  <c r="S177" i="1"/>
  <c r="R177" i="1"/>
  <c r="Q177" i="1"/>
  <c r="P177" i="1"/>
  <c r="O177" i="1"/>
  <c r="M177" i="1"/>
  <c r="N177" i="1" s="1"/>
  <c r="L177" i="1"/>
  <c r="T176" i="1"/>
  <c r="S176" i="1"/>
  <c r="R176" i="1"/>
  <c r="Q176" i="1"/>
  <c r="P176" i="1"/>
  <c r="L176" i="1"/>
  <c r="M176" i="1" s="1"/>
  <c r="T175" i="1"/>
  <c r="S175" i="1"/>
  <c r="R175" i="1"/>
  <c r="Q175" i="1"/>
  <c r="P175" i="1"/>
  <c r="O175" i="1"/>
  <c r="N175" i="1"/>
  <c r="M175" i="1"/>
  <c r="L175" i="1"/>
  <c r="T174" i="1"/>
  <c r="S174" i="1"/>
  <c r="R174" i="1"/>
  <c r="Q174" i="1"/>
  <c r="P174" i="1"/>
  <c r="O174" i="1"/>
  <c r="L174" i="1"/>
  <c r="M174" i="1" s="1"/>
  <c r="N174" i="1" s="1"/>
  <c r="T173" i="1"/>
  <c r="S173" i="1"/>
  <c r="R173" i="1"/>
  <c r="Q173" i="1"/>
  <c r="P173" i="1"/>
  <c r="L173" i="1"/>
  <c r="M173" i="1" s="1"/>
  <c r="T172" i="1"/>
  <c r="S172" i="1"/>
  <c r="R172" i="1"/>
  <c r="Q172" i="1"/>
  <c r="P172" i="1"/>
  <c r="M172" i="1"/>
  <c r="L172" i="1"/>
  <c r="T171" i="1"/>
  <c r="S171" i="1"/>
  <c r="R171" i="1"/>
  <c r="Q171" i="1"/>
  <c r="P171" i="1"/>
  <c r="M171" i="1"/>
  <c r="O171" i="1" s="1"/>
  <c r="L171" i="1"/>
  <c r="T170" i="1"/>
  <c r="S170" i="1"/>
  <c r="R170" i="1"/>
  <c r="Q170" i="1"/>
  <c r="P170" i="1"/>
  <c r="M170" i="1"/>
  <c r="L170" i="1"/>
  <c r="T169" i="1"/>
  <c r="S169" i="1"/>
  <c r="R169" i="1"/>
  <c r="Q169" i="1"/>
  <c r="P169" i="1"/>
  <c r="L169" i="1"/>
  <c r="M169" i="1" s="1"/>
  <c r="T168" i="1"/>
  <c r="S168" i="1"/>
  <c r="R168" i="1"/>
  <c r="Q168" i="1"/>
  <c r="P168" i="1"/>
  <c r="L168" i="1"/>
  <c r="M168" i="1" s="1"/>
  <c r="T167" i="1"/>
  <c r="S167" i="1"/>
  <c r="R167" i="1"/>
  <c r="Q167" i="1"/>
  <c r="P167" i="1"/>
  <c r="L167" i="1"/>
  <c r="M167" i="1" s="1"/>
  <c r="T166" i="1"/>
  <c r="S166" i="1"/>
  <c r="R166" i="1"/>
  <c r="Q166" i="1"/>
  <c r="P166" i="1"/>
  <c r="L166" i="1"/>
  <c r="M166" i="1" s="1"/>
  <c r="T165" i="1"/>
  <c r="S165" i="1"/>
  <c r="R165" i="1"/>
  <c r="Q165" i="1"/>
  <c r="P165" i="1"/>
  <c r="L165" i="1"/>
  <c r="M165" i="1" s="1"/>
  <c r="T164" i="1"/>
  <c r="S164" i="1"/>
  <c r="R164" i="1"/>
  <c r="Q164" i="1"/>
  <c r="P164" i="1"/>
  <c r="L164" i="1"/>
  <c r="M164" i="1" s="1"/>
  <c r="N164" i="1" s="1"/>
  <c r="T163" i="1"/>
  <c r="S163" i="1"/>
  <c r="R163" i="1"/>
  <c r="Q163" i="1"/>
  <c r="P163" i="1"/>
  <c r="O163" i="1"/>
  <c r="M163" i="1"/>
  <c r="N163" i="1" s="1"/>
  <c r="L163" i="1"/>
  <c r="T162" i="1"/>
  <c r="S162" i="1"/>
  <c r="R162" i="1"/>
  <c r="Q162" i="1"/>
  <c r="P162" i="1"/>
  <c r="L162" i="1"/>
  <c r="M162" i="1" s="1"/>
  <c r="T161" i="1"/>
  <c r="S161" i="1"/>
  <c r="R161" i="1"/>
  <c r="Q161" i="1"/>
  <c r="P161" i="1"/>
  <c r="L161" i="1"/>
  <c r="M161" i="1" s="1"/>
  <c r="O161" i="1" s="1"/>
  <c r="T160" i="1"/>
  <c r="S160" i="1"/>
  <c r="R160" i="1"/>
  <c r="Q160" i="1"/>
  <c r="P160" i="1"/>
  <c r="L160" i="1"/>
  <c r="M160" i="1" s="1"/>
  <c r="O160" i="1" s="1"/>
  <c r="T159" i="1"/>
  <c r="S159" i="1"/>
  <c r="R159" i="1"/>
  <c r="Q159" i="1"/>
  <c r="P159" i="1"/>
  <c r="L159" i="1"/>
  <c r="M159" i="1" s="1"/>
  <c r="T158" i="1"/>
  <c r="S158" i="1"/>
  <c r="R158" i="1"/>
  <c r="Q158" i="1"/>
  <c r="P158" i="1"/>
  <c r="M158" i="1"/>
  <c r="L158" i="1"/>
  <c r="T157" i="1"/>
  <c r="S157" i="1"/>
  <c r="R157" i="1"/>
  <c r="Q157" i="1"/>
  <c r="P157" i="1"/>
  <c r="O157" i="1"/>
  <c r="N157" i="1"/>
  <c r="M157" i="1"/>
  <c r="L157" i="1"/>
  <c r="T156" i="1"/>
  <c r="S156" i="1"/>
  <c r="R156" i="1"/>
  <c r="Q156" i="1"/>
  <c r="P156" i="1"/>
  <c r="L156" i="1"/>
  <c r="M156" i="1" s="1"/>
  <c r="T155" i="1"/>
  <c r="S155" i="1"/>
  <c r="R155" i="1"/>
  <c r="Q155" i="1"/>
  <c r="P155" i="1"/>
  <c r="L155" i="1"/>
  <c r="M155" i="1" s="1"/>
  <c r="T154" i="1"/>
  <c r="S154" i="1"/>
  <c r="R154" i="1"/>
  <c r="Q154" i="1"/>
  <c r="P154" i="1"/>
  <c r="L154" i="1"/>
  <c r="M154" i="1" s="1"/>
  <c r="T153" i="1"/>
  <c r="S153" i="1"/>
  <c r="R153" i="1"/>
  <c r="Q153" i="1"/>
  <c r="P153" i="1"/>
  <c r="L153" i="1"/>
  <c r="M153" i="1" s="1"/>
  <c r="T152" i="1"/>
  <c r="S152" i="1"/>
  <c r="R152" i="1"/>
  <c r="Q152" i="1"/>
  <c r="P152" i="1"/>
  <c r="L152" i="1"/>
  <c r="M152" i="1" s="1"/>
  <c r="T151" i="1"/>
  <c r="S151" i="1"/>
  <c r="R151" i="1"/>
  <c r="Q151" i="1"/>
  <c r="P151" i="1"/>
  <c r="L151" i="1"/>
  <c r="M151" i="1" s="1"/>
  <c r="T150" i="1"/>
  <c r="S150" i="1"/>
  <c r="R150" i="1"/>
  <c r="Q150" i="1"/>
  <c r="P150" i="1"/>
  <c r="L150" i="1"/>
  <c r="M150" i="1" s="1"/>
  <c r="N150" i="1" s="1"/>
  <c r="T149" i="1"/>
  <c r="S149" i="1"/>
  <c r="R149" i="1"/>
  <c r="Q149" i="1"/>
  <c r="P149" i="1"/>
  <c r="O149" i="1"/>
  <c r="M149" i="1"/>
  <c r="N149" i="1" s="1"/>
  <c r="L149" i="1"/>
  <c r="T148" i="1"/>
  <c r="S148" i="1"/>
  <c r="R148" i="1"/>
  <c r="Q148" i="1"/>
  <c r="P148" i="1"/>
  <c r="M148" i="1"/>
  <c r="O148" i="1" s="1"/>
  <c r="L148" i="1"/>
  <c r="T147" i="1"/>
  <c r="S147" i="1"/>
  <c r="R147" i="1"/>
  <c r="Q147" i="1"/>
  <c r="P147" i="1"/>
  <c r="L147" i="1"/>
  <c r="M147" i="1" s="1"/>
  <c r="O147" i="1" s="1"/>
  <c r="T146" i="1"/>
  <c r="S146" i="1"/>
  <c r="R146" i="1"/>
  <c r="Q146" i="1"/>
  <c r="P146" i="1"/>
  <c r="O146" i="1"/>
  <c r="L146" i="1"/>
  <c r="M146" i="1" s="1"/>
  <c r="N146" i="1" s="1"/>
  <c r="T145" i="1"/>
  <c r="S145" i="1"/>
  <c r="R145" i="1"/>
  <c r="Q145" i="1"/>
  <c r="P145" i="1"/>
  <c r="M145" i="1"/>
  <c r="O145" i="1" s="1"/>
  <c r="L145" i="1"/>
  <c r="T144" i="1"/>
  <c r="S144" i="1"/>
  <c r="R144" i="1"/>
  <c r="Q144" i="1"/>
  <c r="P144" i="1"/>
  <c r="M144" i="1"/>
  <c r="L144" i="1"/>
  <c r="T143" i="1"/>
  <c r="S143" i="1"/>
  <c r="R143" i="1"/>
  <c r="Q143" i="1"/>
  <c r="P143" i="1"/>
  <c r="M143" i="1"/>
  <c r="O143" i="1" s="1"/>
  <c r="L143" i="1"/>
  <c r="T142" i="1"/>
  <c r="S142" i="1"/>
  <c r="R142" i="1"/>
  <c r="Q142" i="1"/>
  <c r="P142" i="1"/>
  <c r="L142" i="1"/>
  <c r="M142" i="1" s="1"/>
  <c r="T141" i="1"/>
  <c r="S141" i="1"/>
  <c r="R141" i="1"/>
  <c r="Q141" i="1"/>
  <c r="P141" i="1"/>
  <c r="L141" i="1"/>
  <c r="M141" i="1" s="1"/>
  <c r="T140" i="1"/>
  <c r="S140" i="1"/>
  <c r="R140" i="1"/>
  <c r="Q140" i="1"/>
  <c r="P140" i="1"/>
  <c r="M140" i="1"/>
  <c r="O140" i="1" s="1"/>
  <c r="L140" i="1"/>
  <c r="T139" i="1"/>
  <c r="S139" i="1"/>
  <c r="R139" i="1"/>
  <c r="Q139" i="1"/>
  <c r="P139" i="1"/>
  <c r="L139" i="1"/>
  <c r="M139" i="1" s="1"/>
  <c r="T138" i="1"/>
  <c r="S138" i="1"/>
  <c r="R138" i="1"/>
  <c r="Q138" i="1"/>
  <c r="P138" i="1"/>
  <c r="L138" i="1"/>
  <c r="M138" i="1" s="1"/>
  <c r="T137" i="1"/>
  <c r="S137" i="1"/>
  <c r="R137" i="1"/>
  <c r="Q137" i="1"/>
  <c r="P137" i="1"/>
  <c r="M137" i="1"/>
  <c r="N137" i="1" s="1"/>
  <c r="L137" i="1"/>
  <c r="T136" i="1"/>
  <c r="S136" i="1"/>
  <c r="R136" i="1"/>
  <c r="Q136" i="1"/>
  <c r="P136" i="1"/>
  <c r="O136" i="1"/>
  <c r="L136" i="1"/>
  <c r="M136" i="1" s="1"/>
  <c r="N136" i="1" s="1"/>
  <c r="T135" i="1"/>
  <c r="S135" i="1"/>
  <c r="R135" i="1"/>
  <c r="Q135" i="1"/>
  <c r="P135" i="1"/>
  <c r="O135" i="1"/>
  <c r="M135" i="1"/>
  <c r="N135" i="1" s="1"/>
  <c r="L135" i="1"/>
  <c r="T134" i="1"/>
  <c r="S134" i="1"/>
  <c r="R134" i="1"/>
  <c r="Q134" i="1"/>
  <c r="P134" i="1"/>
  <c r="L134" i="1"/>
  <c r="M134" i="1" s="1"/>
  <c r="T133" i="1"/>
  <c r="S133" i="1"/>
  <c r="R133" i="1"/>
  <c r="Q133" i="1"/>
  <c r="P133" i="1"/>
  <c r="L133" i="1"/>
  <c r="M133" i="1" s="1"/>
  <c r="O133" i="1" s="1"/>
  <c r="T132" i="1"/>
  <c r="S132" i="1"/>
  <c r="R132" i="1"/>
  <c r="Q132" i="1"/>
  <c r="P132" i="1"/>
  <c r="N132" i="1"/>
  <c r="L132" i="1"/>
  <c r="M132" i="1" s="1"/>
  <c r="O132" i="1" s="1"/>
  <c r="T131" i="1"/>
  <c r="S131" i="1"/>
  <c r="R131" i="1"/>
  <c r="Q131" i="1"/>
  <c r="P131" i="1"/>
  <c r="L131" i="1"/>
  <c r="M131" i="1" s="1"/>
  <c r="T130" i="1"/>
  <c r="S130" i="1"/>
  <c r="R130" i="1"/>
  <c r="Q130" i="1"/>
  <c r="P130" i="1"/>
  <c r="M130" i="1"/>
  <c r="L130" i="1"/>
  <c r="T129" i="1"/>
  <c r="S129" i="1"/>
  <c r="R129" i="1"/>
  <c r="Q129" i="1"/>
  <c r="P129" i="1"/>
  <c r="M129" i="1"/>
  <c r="O129" i="1" s="1"/>
  <c r="L129" i="1"/>
  <c r="T128" i="1"/>
  <c r="S128" i="1"/>
  <c r="R128" i="1"/>
  <c r="Q128" i="1"/>
  <c r="P128" i="1"/>
  <c r="M128" i="1"/>
  <c r="L128" i="1"/>
  <c r="T127" i="1"/>
  <c r="S127" i="1"/>
  <c r="R127" i="1"/>
  <c r="Q127" i="1"/>
  <c r="P127" i="1"/>
  <c r="L127" i="1"/>
  <c r="M127" i="1" s="1"/>
  <c r="T126" i="1"/>
  <c r="S126" i="1"/>
  <c r="R126" i="1"/>
  <c r="Q126" i="1"/>
  <c r="P126" i="1"/>
  <c r="L126" i="1"/>
  <c r="M126" i="1" s="1"/>
  <c r="T125" i="1"/>
  <c r="S125" i="1"/>
  <c r="R125" i="1"/>
  <c r="Q125" i="1"/>
  <c r="P125" i="1"/>
  <c r="L125" i="1"/>
  <c r="M125" i="1" s="1"/>
  <c r="T124" i="1"/>
  <c r="S124" i="1"/>
  <c r="R124" i="1"/>
  <c r="Q124" i="1"/>
  <c r="P124" i="1"/>
  <c r="L124" i="1"/>
  <c r="M124" i="1" s="1"/>
  <c r="T123" i="1"/>
  <c r="S123" i="1"/>
  <c r="R123" i="1"/>
  <c r="Q123" i="1"/>
  <c r="P123" i="1"/>
  <c r="L123" i="1"/>
  <c r="M123" i="1" s="1"/>
  <c r="T122" i="1"/>
  <c r="S122" i="1"/>
  <c r="R122" i="1"/>
  <c r="Q122" i="1"/>
  <c r="P122" i="1"/>
  <c r="L122" i="1"/>
  <c r="M122" i="1" s="1"/>
  <c r="N122" i="1" s="1"/>
  <c r="T121" i="1"/>
  <c r="S121" i="1"/>
  <c r="R121" i="1"/>
  <c r="Q121" i="1"/>
  <c r="P121" i="1"/>
  <c r="O121" i="1"/>
  <c r="M121" i="1"/>
  <c r="N121" i="1" s="1"/>
  <c r="L121" i="1"/>
  <c r="T120" i="1"/>
  <c r="S120" i="1"/>
  <c r="R120" i="1"/>
  <c r="Q120" i="1"/>
  <c r="P120" i="1"/>
  <c r="O120" i="1"/>
  <c r="M120" i="1"/>
  <c r="N120" i="1" s="1"/>
  <c r="L120" i="1"/>
  <c r="T119" i="1"/>
  <c r="S119" i="1"/>
  <c r="R119" i="1"/>
  <c r="Q119" i="1"/>
  <c r="P119" i="1"/>
  <c r="L119" i="1"/>
  <c r="M119" i="1" s="1"/>
  <c r="O119" i="1" s="1"/>
  <c r="T118" i="1"/>
  <c r="S118" i="1"/>
  <c r="R118" i="1"/>
  <c r="Q118" i="1"/>
  <c r="P118" i="1"/>
  <c r="O118" i="1"/>
  <c r="L118" i="1"/>
  <c r="M118" i="1" s="1"/>
  <c r="N118" i="1" s="1"/>
  <c r="T117" i="1"/>
  <c r="S117" i="1"/>
  <c r="R117" i="1"/>
  <c r="Q117" i="1"/>
  <c r="P117" i="1"/>
  <c r="L117" i="1"/>
  <c r="M117" i="1" s="1"/>
  <c r="T116" i="1"/>
  <c r="S116" i="1"/>
  <c r="R116" i="1"/>
  <c r="Q116" i="1"/>
  <c r="P116" i="1"/>
  <c r="M116" i="1"/>
  <c r="L116" i="1"/>
  <c r="T115" i="1"/>
  <c r="S115" i="1"/>
  <c r="R115" i="1"/>
  <c r="Q115" i="1"/>
  <c r="P115" i="1"/>
  <c r="O115" i="1"/>
  <c r="N115" i="1"/>
  <c r="M115" i="1"/>
  <c r="L115" i="1"/>
  <c r="T114" i="1"/>
  <c r="S114" i="1"/>
  <c r="R114" i="1"/>
  <c r="Q114" i="1"/>
  <c r="P114" i="1"/>
  <c r="L114" i="1"/>
  <c r="M114" i="1" s="1"/>
  <c r="T113" i="1"/>
  <c r="S113" i="1"/>
  <c r="R113" i="1"/>
  <c r="Q113" i="1"/>
  <c r="P113" i="1"/>
  <c r="L113" i="1"/>
  <c r="M113" i="1" s="1"/>
  <c r="T112" i="1"/>
  <c r="S112" i="1"/>
  <c r="R112" i="1"/>
  <c r="Q112" i="1"/>
  <c r="P112" i="1"/>
  <c r="L112" i="1"/>
  <c r="M112" i="1" s="1"/>
  <c r="T111" i="1"/>
  <c r="S111" i="1"/>
  <c r="R111" i="1"/>
  <c r="Q111" i="1"/>
  <c r="P111" i="1"/>
  <c r="L111" i="1"/>
  <c r="M111" i="1" s="1"/>
  <c r="T110" i="1"/>
  <c r="S110" i="1"/>
  <c r="R110" i="1"/>
  <c r="Q110" i="1"/>
  <c r="P110" i="1"/>
  <c r="L110" i="1"/>
  <c r="M110" i="1" s="1"/>
  <c r="T109" i="1"/>
  <c r="S109" i="1"/>
  <c r="R109" i="1"/>
  <c r="Q109" i="1"/>
  <c r="P109" i="1"/>
  <c r="M109" i="1"/>
  <c r="O109" i="1" s="1"/>
  <c r="L109" i="1"/>
  <c r="T108" i="1"/>
  <c r="S108" i="1"/>
  <c r="R108" i="1"/>
  <c r="Q108" i="1"/>
  <c r="P108" i="1"/>
  <c r="L108" i="1"/>
  <c r="M108" i="1" s="1"/>
  <c r="N108" i="1" s="1"/>
  <c r="T107" i="1"/>
  <c r="S107" i="1"/>
  <c r="R107" i="1"/>
  <c r="Q107" i="1"/>
  <c r="P107" i="1"/>
  <c r="O107" i="1"/>
  <c r="M107" i="1"/>
  <c r="N107" i="1" s="1"/>
  <c r="L107" i="1"/>
  <c r="T106" i="1"/>
  <c r="S106" i="1"/>
  <c r="R106" i="1"/>
  <c r="Q106" i="1"/>
  <c r="P106" i="1"/>
  <c r="L106" i="1"/>
  <c r="M106" i="1" s="1"/>
  <c r="T105" i="1"/>
  <c r="S105" i="1"/>
  <c r="R105" i="1"/>
  <c r="Q105" i="1"/>
  <c r="P105" i="1"/>
  <c r="L105" i="1"/>
  <c r="M105" i="1" s="1"/>
  <c r="O105" i="1" s="1"/>
  <c r="T104" i="1"/>
  <c r="S104" i="1"/>
  <c r="R104" i="1"/>
  <c r="Q104" i="1"/>
  <c r="P104" i="1"/>
  <c r="L104" i="1"/>
  <c r="M104" i="1" s="1"/>
  <c r="N104" i="1" s="1"/>
  <c r="T103" i="1"/>
  <c r="S103" i="1"/>
  <c r="R103" i="1"/>
  <c r="Q103" i="1"/>
  <c r="P103" i="1"/>
  <c r="M103" i="1"/>
  <c r="O103" i="1" s="1"/>
  <c r="L103" i="1"/>
  <c r="T102" i="1"/>
  <c r="S102" i="1"/>
  <c r="R102" i="1"/>
  <c r="Q102" i="1"/>
  <c r="P102" i="1"/>
  <c r="M102" i="1"/>
  <c r="L102" i="1"/>
  <c r="T101" i="1"/>
  <c r="S101" i="1"/>
  <c r="R101" i="1"/>
  <c r="Q101" i="1"/>
  <c r="P101" i="1"/>
  <c r="M101" i="1"/>
  <c r="O101" i="1" s="1"/>
  <c r="L101" i="1"/>
  <c r="T100" i="1"/>
  <c r="S100" i="1"/>
  <c r="R100" i="1"/>
  <c r="Q100" i="1"/>
  <c r="P100" i="1"/>
  <c r="M100" i="1"/>
  <c r="L100" i="1"/>
  <c r="T99" i="1"/>
  <c r="S99" i="1"/>
  <c r="R99" i="1"/>
  <c r="Q99" i="1"/>
  <c r="P99" i="1"/>
  <c r="L99" i="1"/>
  <c r="M99" i="1" s="1"/>
  <c r="T98" i="1"/>
  <c r="S98" i="1"/>
  <c r="R98" i="1"/>
  <c r="Q98" i="1"/>
  <c r="P98" i="1"/>
  <c r="L98" i="1"/>
  <c r="M98" i="1" s="1"/>
  <c r="T97" i="1"/>
  <c r="S97" i="1"/>
  <c r="R97" i="1"/>
  <c r="Q97" i="1"/>
  <c r="P97" i="1"/>
  <c r="L97" i="1"/>
  <c r="M97" i="1" s="1"/>
  <c r="T96" i="1"/>
  <c r="S96" i="1"/>
  <c r="R96" i="1"/>
  <c r="Q96" i="1"/>
  <c r="P96" i="1"/>
  <c r="L96" i="1"/>
  <c r="M96" i="1" s="1"/>
  <c r="T95" i="1"/>
  <c r="S95" i="1"/>
  <c r="R95" i="1"/>
  <c r="Q95" i="1"/>
  <c r="P95" i="1"/>
  <c r="L95" i="1"/>
  <c r="M95" i="1" s="1"/>
  <c r="T94" i="1"/>
  <c r="S94" i="1"/>
  <c r="R94" i="1"/>
  <c r="Q94" i="1"/>
  <c r="P94" i="1"/>
  <c r="L94" i="1"/>
  <c r="M94" i="1" s="1"/>
  <c r="N94" i="1" s="1"/>
  <c r="T93" i="1"/>
  <c r="S93" i="1"/>
  <c r="R93" i="1"/>
  <c r="Q93" i="1"/>
  <c r="P93" i="1"/>
  <c r="O93" i="1"/>
  <c r="M93" i="1"/>
  <c r="N93" i="1" s="1"/>
  <c r="L93" i="1"/>
  <c r="T92" i="1"/>
  <c r="S92" i="1"/>
  <c r="R92" i="1"/>
  <c r="Q92" i="1"/>
  <c r="P92" i="1"/>
  <c r="L92" i="1"/>
  <c r="M92" i="1" s="1"/>
  <c r="T91" i="1"/>
  <c r="S91" i="1"/>
  <c r="R91" i="1"/>
  <c r="Q91" i="1"/>
  <c r="P91" i="1"/>
  <c r="L91" i="1"/>
  <c r="M91" i="1" s="1"/>
  <c r="O91" i="1" s="1"/>
  <c r="T90" i="1"/>
  <c r="S90" i="1"/>
  <c r="R90" i="1"/>
  <c r="Q90" i="1"/>
  <c r="P90" i="1"/>
  <c r="N90" i="1"/>
  <c r="L90" i="1"/>
  <c r="M90" i="1" s="1"/>
  <c r="O90" i="1" s="1"/>
  <c r="T89" i="1"/>
  <c r="S89" i="1"/>
  <c r="R89" i="1"/>
  <c r="Q89" i="1"/>
  <c r="P89" i="1"/>
  <c r="L89" i="1"/>
  <c r="M89" i="1" s="1"/>
  <c r="T88" i="1"/>
  <c r="S88" i="1"/>
  <c r="R88" i="1"/>
  <c r="Q88" i="1"/>
  <c r="P88" i="1"/>
  <c r="M88" i="1"/>
  <c r="L88" i="1"/>
  <c r="T87" i="1"/>
  <c r="S87" i="1"/>
  <c r="R87" i="1"/>
  <c r="Q87" i="1"/>
  <c r="P87" i="1"/>
  <c r="N87" i="1"/>
  <c r="M87" i="1"/>
  <c r="O87" i="1" s="1"/>
  <c r="L87" i="1"/>
  <c r="T86" i="1"/>
  <c r="S86" i="1"/>
  <c r="R86" i="1"/>
  <c r="Q86" i="1"/>
  <c r="P86" i="1"/>
  <c r="L86" i="1"/>
  <c r="M86" i="1" s="1"/>
  <c r="T85" i="1"/>
  <c r="S85" i="1"/>
  <c r="R85" i="1"/>
  <c r="Q85" i="1"/>
  <c r="P85" i="1"/>
  <c r="L85" i="1"/>
  <c r="M85" i="1" s="1"/>
  <c r="T84" i="1"/>
  <c r="S84" i="1"/>
  <c r="R84" i="1"/>
  <c r="Q84" i="1"/>
  <c r="P84" i="1"/>
  <c r="L84" i="1"/>
  <c r="M84" i="1" s="1"/>
  <c r="T83" i="1"/>
  <c r="S83" i="1"/>
  <c r="R83" i="1"/>
  <c r="Q83" i="1"/>
  <c r="P83" i="1"/>
  <c r="M83" i="1"/>
  <c r="L83" i="1"/>
  <c r="T82" i="1"/>
  <c r="S82" i="1"/>
  <c r="R82" i="1"/>
  <c r="Q82" i="1"/>
  <c r="P82" i="1"/>
  <c r="L82" i="1"/>
  <c r="M82" i="1" s="1"/>
  <c r="T81" i="1"/>
  <c r="S81" i="1"/>
  <c r="R81" i="1"/>
  <c r="Q81" i="1"/>
  <c r="P81" i="1"/>
  <c r="L81" i="1"/>
  <c r="M81" i="1" s="1"/>
  <c r="T80" i="1"/>
  <c r="S80" i="1"/>
  <c r="R80" i="1"/>
  <c r="Q80" i="1"/>
  <c r="P80" i="1"/>
  <c r="L80" i="1"/>
  <c r="M80" i="1" s="1"/>
  <c r="N80" i="1" s="1"/>
  <c r="T79" i="1"/>
  <c r="S79" i="1"/>
  <c r="R79" i="1"/>
  <c r="Q79" i="1"/>
  <c r="P79" i="1"/>
  <c r="O79" i="1"/>
  <c r="M79" i="1"/>
  <c r="N79" i="1" s="1"/>
  <c r="L79" i="1"/>
  <c r="T78" i="1"/>
  <c r="S78" i="1"/>
  <c r="R78" i="1"/>
  <c r="Q78" i="1"/>
  <c r="P78" i="1"/>
  <c r="L78" i="1"/>
  <c r="M78" i="1" s="1"/>
  <c r="T77" i="1"/>
  <c r="S77" i="1"/>
  <c r="R77" i="1"/>
  <c r="Q77" i="1"/>
  <c r="P77" i="1"/>
  <c r="L77" i="1"/>
  <c r="M77" i="1" s="1"/>
  <c r="O77" i="1" s="1"/>
  <c r="T76" i="1"/>
  <c r="S76" i="1"/>
  <c r="R76" i="1"/>
  <c r="Q76" i="1"/>
  <c r="P76" i="1"/>
  <c r="N76" i="1"/>
  <c r="L76" i="1"/>
  <c r="M76" i="1" s="1"/>
  <c r="O76" i="1" s="1"/>
  <c r="T75" i="1"/>
  <c r="S75" i="1"/>
  <c r="R75" i="1"/>
  <c r="Q75" i="1"/>
  <c r="P75" i="1"/>
  <c r="L75" i="1"/>
  <c r="M75" i="1" s="1"/>
  <c r="T74" i="1"/>
  <c r="S74" i="1"/>
  <c r="R74" i="1"/>
  <c r="Q74" i="1"/>
  <c r="P74" i="1"/>
  <c r="M74" i="1"/>
  <c r="L74" i="1"/>
  <c r="T73" i="1"/>
  <c r="S73" i="1"/>
  <c r="R73" i="1"/>
  <c r="Q73" i="1"/>
  <c r="P73" i="1"/>
  <c r="M73" i="1"/>
  <c r="O73" i="1" s="1"/>
  <c r="L73" i="1"/>
  <c r="T72" i="1"/>
  <c r="S72" i="1"/>
  <c r="R72" i="1"/>
  <c r="Q72" i="1"/>
  <c r="P72" i="1"/>
  <c r="M72" i="1"/>
  <c r="O72" i="1" s="1"/>
  <c r="L72" i="1"/>
  <c r="T71" i="1"/>
  <c r="S71" i="1"/>
  <c r="R71" i="1"/>
  <c r="Q71" i="1"/>
  <c r="P71" i="1"/>
  <c r="L71" i="1"/>
  <c r="M71" i="1" s="1"/>
  <c r="T70" i="1"/>
  <c r="S70" i="1"/>
  <c r="R70" i="1"/>
  <c r="Q70" i="1"/>
  <c r="P70" i="1"/>
  <c r="L70" i="1"/>
  <c r="M70" i="1" s="1"/>
  <c r="T69" i="1"/>
  <c r="S69" i="1"/>
  <c r="R69" i="1"/>
  <c r="Q69" i="1"/>
  <c r="P69" i="1"/>
  <c r="L69" i="1"/>
  <c r="M69" i="1" s="1"/>
  <c r="T68" i="1"/>
  <c r="S68" i="1"/>
  <c r="R68" i="1"/>
  <c r="Q68" i="1"/>
  <c r="P68" i="1"/>
  <c r="L68" i="1"/>
  <c r="M68" i="1" s="1"/>
  <c r="T67" i="1"/>
  <c r="S67" i="1"/>
  <c r="R67" i="1"/>
  <c r="Q67" i="1"/>
  <c r="P67" i="1"/>
  <c r="M67" i="1"/>
  <c r="O67" i="1" s="1"/>
  <c r="L67" i="1"/>
  <c r="T66" i="1"/>
  <c r="S66" i="1"/>
  <c r="R66" i="1"/>
  <c r="Q66" i="1"/>
  <c r="P66" i="1"/>
  <c r="L66" i="1"/>
  <c r="M66" i="1" s="1"/>
  <c r="N66" i="1" s="1"/>
  <c r="T65" i="1"/>
  <c r="S65" i="1"/>
  <c r="R65" i="1"/>
  <c r="Q65" i="1"/>
  <c r="P65" i="1"/>
  <c r="O65" i="1"/>
  <c r="M65" i="1"/>
  <c r="N65" i="1" s="1"/>
  <c r="L65" i="1"/>
  <c r="T64" i="1"/>
  <c r="S64" i="1"/>
  <c r="R64" i="1"/>
  <c r="Q64" i="1"/>
  <c r="P64" i="1"/>
  <c r="L64" i="1"/>
  <c r="M64" i="1" s="1"/>
  <c r="T63" i="1"/>
  <c r="S63" i="1"/>
  <c r="R63" i="1"/>
  <c r="Q63" i="1"/>
  <c r="P63" i="1"/>
  <c r="L63" i="1"/>
  <c r="M63" i="1" s="1"/>
  <c r="O63" i="1" s="1"/>
  <c r="T62" i="1"/>
  <c r="S62" i="1"/>
  <c r="R62" i="1"/>
  <c r="Q62" i="1"/>
  <c r="P62" i="1"/>
  <c r="L62" i="1"/>
  <c r="M62" i="1" s="1"/>
  <c r="N62" i="1" s="1"/>
  <c r="T61" i="1"/>
  <c r="S61" i="1"/>
  <c r="R61" i="1"/>
  <c r="Q61" i="1"/>
  <c r="P61" i="1"/>
  <c r="L61" i="1"/>
  <c r="M61" i="1" s="1"/>
  <c r="T60" i="1"/>
  <c r="S60" i="1"/>
  <c r="R60" i="1"/>
  <c r="Q60" i="1"/>
  <c r="P60" i="1"/>
  <c r="M60" i="1"/>
  <c r="L60" i="1"/>
  <c r="T59" i="1"/>
  <c r="S59" i="1"/>
  <c r="R59" i="1"/>
  <c r="Q59" i="1"/>
  <c r="P59" i="1"/>
  <c r="M59" i="1"/>
  <c r="N59" i="1" s="1"/>
  <c r="L59" i="1"/>
  <c r="T58" i="1"/>
  <c r="S58" i="1"/>
  <c r="R58" i="1"/>
  <c r="Q58" i="1"/>
  <c r="P58" i="1"/>
  <c r="M58" i="1"/>
  <c r="O58" i="1" s="1"/>
  <c r="L58" i="1"/>
  <c r="T57" i="1"/>
  <c r="S57" i="1"/>
  <c r="R57" i="1"/>
  <c r="Q57" i="1"/>
  <c r="P57" i="1"/>
  <c r="L57" i="1"/>
  <c r="M57" i="1" s="1"/>
  <c r="T56" i="1"/>
  <c r="S56" i="1"/>
  <c r="R56" i="1"/>
  <c r="Q56" i="1"/>
  <c r="P56" i="1"/>
  <c r="L56" i="1"/>
  <c r="M56" i="1" s="1"/>
  <c r="T55" i="1"/>
  <c r="S55" i="1"/>
  <c r="R55" i="1"/>
  <c r="Q55" i="1"/>
  <c r="P55" i="1"/>
  <c r="L55" i="1"/>
  <c r="M55" i="1" s="1"/>
  <c r="T54" i="1"/>
  <c r="S54" i="1"/>
  <c r="R54" i="1"/>
  <c r="Q54" i="1"/>
  <c r="P54" i="1"/>
  <c r="L54" i="1"/>
  <c r="M54" i="1" s="1"/>
  <c r="T53" i="1"/>
  <c r="S53" i="1"/>
  <c r="R53" i="1"/>
  <c r="Q53" i="1"/>
  <c r="P53" i="1"/>
  <c r="L53" i="1"/>
  <c r="M53" i="1" s="1"/>
  <c r="T52" i="1"/>
  <c r="S52" i="1"/>
  <c r="R52" i="1"/>
  <c r="Q52" i="1"/>
  <c r="P52" i="1"/>
  <c r="L52" i="1"/>
  <c r="M52" i="1" s="1"/>
  <c r="N52" i="1" s="1"/>
  <c r="T51" i="1"/>
  <c r="S51" i="1"/>
  <c r="R51" i="1"/>
  <c r="Q51" i="1"/>
  <c r="P51" i="1"/>
  <c r="O51" i="1"/>
  <c r="M51" i="1"/>
  <c r="N51" i="1" s="1"/>
  <c r="L51" i="1"/>
  <c r="T50" i="1"/>
  <c r="S50" i="1"/>
  <c r="R50" i="1"/>
  <c r="Q50" i="1"/>
  <c r="P50" i="1"/>
  <c r="L50" i="1"/>
  <c r="M50" i="1" s="1"/>
  <c r="T49" i="1"/>
  <c r="S49" i="1"/>
  <c r="R49" i="1"/>
  <c r="Q49" i="1"/>
  <c r="P49" i="1"/>
  <c r="N49" i="1"/>
  <c r="L49" i="1"/>
  <c r="M49" i="1" s="1"/>
  <c r="O49" i="1" s="1"/>
  <c r="T48" i="1"/>
  <c r="S48" i="1"/>
  <c r="R48" i="1"/>
  <c r="Q48" i="1"/>
  <c r="P48" i="1"/>
  <c r="L48" i="1"/>
  <c r="M48" i="1" s="1"/>
  <c r="O48" i="1" s="1"/>
  <c r="T47" i="1"/>
  <c r="S47" i="1"/>
  <c r="R47" i="1"/>
  <c r="Q47" i="1"/>
  <c r="P47" i="1"/>
  <c r="L47" i="1"/>
  <c r="M47" i="1" s="1"/>
  <c r="T46" i="1"/>
  <c r="S46" i="1"/>
  <c r="R46" i="1"/>
  <c r="Q46" i="1"/>
  <c r="P46" i="1"/>
  <c r="M46" i="1"/>
  <c r="L46" i="1"/>
  <c r="T45" i="1"/>
  <c r="S45" i="1"/>
  <c r="R45" i="1"/>
  <c r="Q45" i="1"/>
  <c r="P45" i="1"/>
  <c r="M45" i="1"/>
  <c r="O45" i="1" s="1"/>
  <c r="L45" i="1"/>
  <c r="T44" i="1"/>
  <c r="S44" i="1"/>
  <c r="R44" i="1"/>
  <c r="Q44" i="1"/>
  <c r="P44" i="1"/>
  <c r="L44" i="1"/>
  <c r="M44" i="1" s="1"/>
  <c r="T43" i="1"/>
  <c r="S43" i="1"/>
  <c r="R43" i="1"/>
  <c r="Q43" i="1"/>
  <c r="P43" i="1"/>
  <c r="L43" i="1"/>
  <c r="M43" i="1" s="1"/>
  <c r="T42" i="1"/>
  <c r="S42" i="1"/>
  <c r="R42" i="1"/>
  <c r="Q42" i="1"/>
  <c r="P42" i="1"/>
  <c r="M42" i="1"/>
  <c r="O42" i="1" s="1"/>
  <c r="L42" i="1"/>
  <c r="T41" i="1"/>
  <c r="S41" i="1"/>
  <c r="R41" i="1"/>
  <c r="Q41" i="1"/>
  <c r="P41" i="1"/>
  <c r="L41" i="1"/>
  <c r="M41" i="1" s="1"/>
  <c r="T40" i="1"/>
  <c r="S40" i="1"/>
  <c r="R40" i="1"/>
  <c r="Q40" i="1"/>
  <c r="P40" i="1"/>
  <c r="L40" i="1"/>
  <c r="M40" i="1" s="1"/>
  <c r="T39" i="1"/>
  <c r="S39" i="1"/>
  <c r="R39" i="1"/>
  <c r="Q39" i="1"/>
  <c r="P39" i="1"/>
  <c r="L39" i="1"/>
  <c r="M39" i="1" s="1"/>
  <c r="T38" i="1"/>
  <c r="S38" i="1"/>
  <c r="R38" i="1"/>
  <c r="Q38" i="1"/>
  <c r="P38" i="1"/>
  <c r="L38" i="1"/>
  <c r="M38" i="1" s="1"/>
  <c r="N38" i="1" s="1"/>
  <c r="T37" i="1"/>
  <c r="S37" i="1"/>
  <c r="R37" i="1"/>
  <c r="Q37" i="1"/>
  <c r="P37" i="1"/>
  <c r="O37" i="1"/>
  <c r="M37" i="1"/>
  <c r="N37" i="1" s="1"/>
  <c r="L37" i="1"/>
  <c r="T36" i="1"/>
  <c r="S36" i="1"/>
  <c r="R36" i="1"/>
  <c r="Q36" i="1"/>
  <c r="P36" i="1"/>
  <c r="L36" i="1"/>
  <c r="M36" i="1" s="1"/>
  <c r="T35" i="1"/>
  <c r="S35" i="1"/>
  <c r="R35" i="1"/>
  <c r="Q35" i="1"/>
  <c r="P35" i="1"/>
  <c r="L35" i="1"/>
  <c r="M35" i="1" s="1"/>
  <c r="O35" i="1" s="1"/>
  <c r="T34" i="1"/>
  <c r="S34" i="1"/>
  <c r="R34" i="1"/>
  <c r="Q34" i="1"/>
  <c r="P34" i="1"/>
  <c r="N34" i="1"/>
  <c r="L34" i="1"/>
  <c r="M34" i="1" s="1"/>
  <c r="O34" i="1" s="1"/>
  <c r="T33" i="1"/>
  <c r="S33" i="1"/>
  <c r="R33" i="1"/>
  <c r="Q33" i="1"/>
  <c r="P33" i="1"/>
  <c r="M33" i="1"/>
  <c r="O33" i="1" s="1"/>
  <c r="L33" i="1"/>
  <c r="T32" i="1"/>
  <c r="S32" i="1"/>
  <c r="R32" i="1"/>
  <c r="Q32" i="1"/>
  <c r="P32" i="1"/>
  <c r="M32" i="1"/>
  <c r="L32" i="1"/>
  <c r="T31" i="1"/>
  <c r="S31" i="1"/>
  <c r="R31" i="1"/>
  <c r="Q31" i="1"/>
  <c r="P31" i="1"/>
  <c r="O31" i="1"/>
  <c r="M31" i="1"/>
  <c r="N31" i="1" s="1"/>
  <c r="L31" i="1"/>
  <c r="T30" i="1"/>
  <c r="S30" i="1"/>
  <c r="R30" i="1"/>
  <c r="Q30" i="1"/>
  <c r="P30" i="1"/>
  <c r="L30" i="1"/>
  <c r="M30" i="1" s="1"/>
  <c r="T29" i="1"/>
  <c r="S29" i="1"/>
  <c r="R29" i="1"/>
  <c r="Q29" i="1"/>
  <c r="P29" i="1"/>
  <c r="L29" i="1"/>
  <c r="M29" i="1" s="1"/>
  <c r="T28" i="1"/>
  <c r="S28" i="1"/>
  <c r="R28" i="1"/>
  <c r="Q28" i="1"/>
  <c r="P28" i="1"/>
  <c r="L28" i="1"/>
  <c r="M28" i="1" s="1"/>
  <c r="T27" i="1"/>
  <c r="S27" i="1"/>
  <c r="R27" i="1"/>
  <c r="Q27" i="1"/>
  <c r="P27" i="1"/>
  <c r="L27" i="1"/>
  <c r="M27" i="1" s="1"/>
  <c r="T26" i="1"/>
  <c r="S26" i="1"/>
  <c r="R26" i="1"/>
  <c r="Q26" i="1"/>
  <c r="P26" i="1"/>
  <c r="L26" i="1"/>
  <c r="M26" i="1" s="1"/>
  <c r="T25" i="1"/>
  <c r="S25" i="1"/>
  <c r="R25" i="1"/>
  <c r="Q25" i="1"/>
  <c r="P25" i="1"/>
  <c r="M25" i="1"/>
  <c r="O25" i="1" s="1"/>
  <c r="L25" i="1"/>
  <c r="T24" i="1"/>
  <c r="S24" i="1"/>
  <c r="R24" i="1"/>
  <c r="Q24" i="1"/>
  <c r="P24" i="1"/>
  <c r="O24" i="1"/>
  <c r="L24" i="1"/>
  <c r="M24" i="1" s="1"/>
  <c r="N24" i="1" s="1"/>
  <c r="T23" i="1"/>
  <c r="S23" i="1"/>
  <c r="R23" i="1"/>
  <c r="Q23" i="1"/>
  <c r="P23" i="1"/>
  <c r="O23" i="1"/>
  <c r="M23" i="1"/>
  <c r="N23" i="1" s="1"/>
  <c r="L23" i="1"/>
  <c r="T22" i="1"/>
  <c r="S22" i="1"/>
  <c r="R22" i="1"/>
  <c r="Q22" i="1"/>
  <c r="P22" i="1"/>
  <c r="L22" i="1"/>
  <c r="M22" i="1" s="1"/>
  <c r="T21" i="1"/>
  <c r="S21" i="1"/>
  <c r="R21" i="1"/>
  <c r="Q21" i="1"/>
  <c r="P21" i="1"/>
  <c r="L21" i="1"/>
  <c r="M21" i="1" s="1"/>
  <c r="O21" i="1" s="1"/>
  <c r="T20" i="1"/>
  <c r="S20" i="1"/>
  <c r="R20" i="1"/>
  <c r="Q20" i="1"/>
  <c r="P20" i="1"/>
  <c r="O20" i="1"/>
  <c r="N20" i="1"/>
  <c r="L20" i="1"/>
  <c r="M20" i="1" s="1"/>
  <c r="T19" i="1"/>
  <c r="S19" i="1"/>
  <c r="R19" i="1"/>
  <c r="Q19" i="1"/>
  <c r="P19" i="1"/>
  <c r="L19" i="1"/>
  <c r="M19" i="1" s="1"/>
  <c r="T18" i="1"/>
  <c r="S18" i="1"/>
  <c r="R18" i="1"/>
  <c r="Q18" i="1"/>
  <c r="P18" i="1"/>
  <c r="M18" i="1"/>
  <c r="L18" i="1"/>
  <c r="T17" i="1"/>
  <c r="S17" i="1"/>
  <c r="R17" i="1"/>
  <c r="Q17" i="1"/>
  <c r="P17" i="1"/>
  <c r="O17" i="1"/>
  <c r="N17" i="1"/>
  <c r="M17" i="1"/>
  <c r="L17" i="1"/>
  <c r="T16" i="1"/>
  <c r="S16" i="1"/>
  <c r="R16" i="1"/>
  <c r="Q16" i="1"/>
  <c r="P16" i="1"/>
  <c r="L16" i="1"/>
  <c r="M16" i="1" s="1"/>
  <c r="T15" i="1"/>
  <c r="S15" i="1"/>
  <c r="R15" i="1"/>
  <c r="Q15" i="1"/>
  <c r="P15" i="1"/>
  <c r="L15" i="1"/>
  <c r="M15" i="1" s="1"/>
  <c r="T14" i="1"/>
  <c r="S14" i="1"/>
  <c r="R14" i="1"/>
  <c r="Q14" i="1"/>
  <c r="P14" i="1"/>
  <c r="L14" i="1"/>
  <c r="M14" i="1" s="1"/>
  <c r="T13" i="1"/>
  <c r="S13" i="1"/>
  <c r="R13" i="1"/>
  <c r="Q13" i="1"/>
  <c r="P13" i="1"/>
  <c r="L13" i="1"/>
  <c r="M13" i="1" s="1"/>
  <c r="T12" i="1"/>
  <c r="S12" i="1"/>
  <c r="R12" i="1"/>
  <c r="Q12" i="1"/>
  <c r="P12" i="1"/>
  <c r="L12" i="1"/>
  <c r="M12" i="1" s="1"/>
  <c r="T11" i="1"/>
  <c r="S11" i="1"/>
  <c r="R11" i="1"/>
  <c r="Q11" i="1"/>
  <c r="P11" i="1"/>
  <c r="O11" i="1"/>
  <c r="M11" i="1"/>
  <c r="N11" i="1" s="1"/>
  <c r="L11" i="1"/>
  <c r="T10" i="1"/>
  <c r="S10" i="1"/>
  <c r="R10" i="1"/>
  <c r="Q10" i="1"/>
  <c r="P10" i="1"/>
  <c r="L10" i="1"/>
  <c r="M10" i="1" s="1"/>
  <c r="N10" i="1" s="1"/>
  <c r="T9" i="1"/>
  <c r="S9" i="1"/>
  <c r="R9" i="1"/>
  <c r="Q9" i="1"/>
  <c r="P9" i="1"/>
  <c r="O9" i="1"/>
  <c r="M9" i="1"/>
  <c r="N9" i="1" s="1"/>
  <c r="L9" i="1"/>
  <c r="T8" i="1"/>
  <c r="S8" i="1"/>
  <c r="R8" i="1"/>
  <c r="Q8" i="1"/>
  <c r="P8" i="1"/>
  <c r="M8" i="1"/>
  <c r="N8" i="1" s="1"/>
  <c r="L8" i="1"/>
  <c r="T7" i="1"/>
  <c r="S7" i="1"/>
  <c r="R7" i="1"/>
  <c r="Q7" i="1"/>
  <c r="P7" i="1"/>
  <c r="N7" i="1"/>
  <c r="L7" i="1"/>
  <c r="M7" i="1" s="1"/>
  <c r="O7" i="1" s="1"/>
  <c r="T6" i="1"/>
  <c r="S6" i="1"/>
  <c r="R6" i="1"/>
  <c r="Q6" i="1"/>
  <c r="P6" i="1"/>
  <c r="L6" i="1"/>
  <c r="M6" i="1" s="1"/>
  <c r="O6" i="1" s="1"/>
  <c r="T5" i="1"/>
  <c r="S5" i="1"/>
  <c r="R5" i="1"/>
  <c r="Q5" i="1"/>
  <c r="P5" i="1"/>
  <c r="L5" i="1"/>
  <c r="M5" i="1" s="1"/>
  <c r="T4" i="1"/>
  <c r="S4" i="1"/>
  <c r="R4" i="1"/>
  <c r="Q4" i="1"/>
  <c r="P4" i="1"/>
  <c r="M4" i="1"/>
  <c r="L4" i="1"/>
  <c r="T3" i="1"/>
  <c r="S3" i="1"/>
  <c r="R3" i="1"/>
  <c r="Q3" i="1"/>
  <c r="P3" i="1"/>
  <c r="M3" i="1"/>
  <c r="O3" i="1" s="1"/>
  <c r="L3" i="1"/>
  <c r="T2" i="1"/>
  <c r="S2" i="1"/>
  <c r="R2" i="1"/>
  <c r="Q2" i="1"/>
  <c r="P2" i="1"/>
  <c r="L2" i="1"/>
  <c r="M2" i="1" s="1"/>
  <c r="N5" i="1" l="1"/>
  <c r="O5" i="1"/>
  <c r="O28" i="1"/>
  <c r="N28" i="1"/>
  <c r="N95" i="1"/>
  <c r="O95" i="1"/>
  <c r="N106" i="1"/>
  <c r="O106" i="1"/>
  <c r="O159" i="1"/>
  <c r="N159" i="1"/>
  <c r="O168" i="1"/>
  <c r="N168" i="1"/>
  <c r="O443" i="1"/>
  <c r="N443" i="1"/>
  <c r="O247" i="1"/>
  <c r="N247" i="1"/>
  <c r="O320" i="1"/>
  <c r="N320" i="1"/>
  <c r="O421" i="1"/>
  <c r="N421" i="1"/>
  <c r="O41" i="1"/>
  <c r="N41" i="1"/>
  <c r="N22" i="1"/>
  <c r="O22" i="1"/>
  <c r="N134" i="1"/>
  <c r="O134" i="1"/>
  <c r="O117" i="1"/>
  <c r="N117" i="1"/>
  <c r="O415" i="1"/>
  <c r="N415" i="1"/>
  <c r="O55" i="1"/>
  <c r="N55" i="1"/>
  <c r="O81" i="1"/>
  <c r="N81" i="1"/>
  <c r="O78" i="1"/>
  <c r="N78" i="1"/>
  <c r="N123" i="1"/>
  <c r="O123" i="1"/>
  <c r="N39" i="1"/>
  <c r="O39" i="1"/>
  <c r="O89" i="1"/>
  <c r="N89" i="1"/>
  <c r="O206" i="1"/>
  <c r="N206" i="1"/>
  <c r="O151" i="1"/>
  <c r="N151" i="1"/>
  <c r="O162" i="1"/>
  <c r="N162" i="1"/>
  <c r="O359" i="1"/>
  <c r="N359" i="1"/>
  <c r="O70" i="1"/>
  <c r="N70" i="1"/>
  <c r="O173" i="1"/>
  <c r="N173" i="1"/>
  <c r="O44" i="1"/>
  <c r="N44" i="1"/>
  <c r="N126" i="1"/>
  <c r="O126" i="1"/>
  <c r="O92" i="1"/>
  <c r="N92" i="1"/>
  <c r="O53" i="1"/>
  <c r="N53" i="1"/>
  <c r="O114" i="1"/>
  <c r="N114" i="1"/>
  <c r="O184" i="1"/>
  <c r="N184" i="1"/>
  <c r="O16" i="1"/>
  <c r="N16" i="1"/>
  <c r="N14" i="1"/>
  <c r="O14" i="1"/>
  <c r="O98" i="1"/>
  <c r="N98" i="1"/>
  <c r="O292" i="1"/>
  <c r="N292" i="1"/>
  <c r="O231" i="1"/>
  <c r="N231" i="1"/>
  <c r="O376" i="1"/>
  <c r="N376" i="1"/>
  <c r="N156" i="1"/>
  <c r="O156" i="1"/>
  <c r="O2" i="1"/>
  <c r="N2" i="1"/>
  <c r="O27" i="1"/>
  <c r="N27" i="1"/>
  <c r="O64" i="1"/>
  <c r="N64" i="1"/>
  <c r="O154" i="1"/>
  <c r="N154" i="1"/>
  <c r="O331" i="1"/>
  <c r="N331" i="1"/>
  <c r="N19" i="1"/>
  <c r="O19" i="1"/>
  <c r="N75" i="1"/>
  <c r="O75" i="1"/>
  <c r="O86" i="1"/>
  <c r="N86" i="1"/>
  <c r="O165" i="1"/>
  <c r="N165" i="1"/>
  <c r="N194" i="1"/>
  <c r="O194" i="1"/>
  <c r="O50" i="1"/>
  <c r="N50" i="1"/>
  <c r="O61" i="1"/>
  <c r="N61" i="1"/>
  <c r="O36" i="1"/>
  <c r="N36" i="1"/>
  <c r="O112" i="1"/>
  <c r="N112" i="1"/>
  <c r="O131" i="1"/>
  <c r="N131" i="1"/>
  <c r="O182" i="1"/>
  <c r="N182" i="1"/>
  <c r="O222" i="1"/>
  <c r="N222" i="1"/>
  <c r="O387" i="1"/>
  <c r="N387" i="1"/>
  <c r="N449" i="1"/>
  <c r="O449" i="1"/>
  <c r="O13" i="1"/>
  <c r="N13" i="1"/>
  <c r="O30" i="1"/>
  <c r="N30" i="1"/>
  <c r="O47" i="1"/>
  <c r="N47" i="1"/>
  <c r="N84" i="1"/>
  <c r="O84" i="1"/>
  <c r="O309" i="1"/>
  <c r="N309" i="1"/>
  <c r="O56" i="1"/>
  <c r="N56" i="1"/>
  <c r="O69" i="1"/>
  <c r="N69" i="1"/>
  <c r="N142" i="1"/>
  <c r="O142" i="1"/>
  <c r="N176" i="1"/>
  <c r="O176" i="1"/>
  <c r="O189" i="1"/>
  <c r="N189" i="1"/>
  <c r="O220" i="1"/>
  <c r="N220" i="1"/>
  <c r="O281" i="1"/>
  <c r="N281" i="1"/>
  <c r="O303" i="1"/>
  <c r="N303" i="1"/>
  <c r="O460" i="1"/>
  <c r="N460" i="1"/>
  <c r="O513" i="1"/>
  <c r="N513" i="1"/>
  <c r="O96" i="1"/>
  <c r="N96" i="1"/>
  <c r="O100" i="1"/>
  <c r="N100" i="1"/>
  <c r="O111" i="1"/>
  <c r="N111" i="1"/>
  <c r="O172" i="1"/>
  <c r="N172" i="1"/>
  <c r="O181" i="1"/>
  <c r="N181" i="1"/>
  <c r="O191" i="1"/>
  <c r="N191" i="1"/>
  <c r="O233" i="1"/>
  <c r="N233" i="1"/>
  <c r="N365" i="1"/>
  <c r="O365" i="1"/>
  <c r="O418" i="1"/>
  <c r="N418" i="1"/>
  <c r="O467" i="1"/>
  <c r="N467" i="1"/>
  <c r="O471" i="1"/>
  <c r="N471" i="1"/>
  <c r="O575" i="1"/>
  <c r="N575" i="1"/>
  <c r="N6" i="1"/>
  <c r="N33" i="1"/>
  <c r="N42" i="1"/>
  <c r="O60" i="1"/>
  <c r="N60" i="1"/>
  <c r="N67" i="1"/>
  <c r="N109" i="1"/>
  <c r="O113" i="1"/>
  <c r="N113" i="1"/>
  <c r="O122" i="1"/>
  <c r="N148" i="1"/>
  <c r="N161" i="1"/>
  <c r="O183" i="1"/>
  <c r="N183" i="1"/>
  <c r="N208" i="1"/>
  <c r="O278" i="1"/>
  <c r="N278" i="1"/>
  <c r="N299" i="1"/>
  <c r="O422" i="1"/>
  <c r="O428" i="1"/>
  <c r="O430" i="1"/>
  <c r="N432" i="1"/>
  <c r="O434" i="1"/>
  <c r="N434" i="1"/>
  <c r="O564" i="1"/>
  <c r="N564" i="1"/>
  <c r="O62" i="1"/>
  <c r="N73" i="1"/>
  <c r="O80" i="1"/>
  <c r="O104" i="1"/>
  <c r="O130" i="1"/>
  <c r="N130" i="1"/>
  <c r="O137" i="1"/>
  <c r="N143" i="1"/>
  <c r="O152" i="1"/>
  <c r="N152" i="1"/>
  <c r="O167" i="1"/>
  <c r="N167" i="1"/>
  <c r="O224" i="1"/>
  <c r="N224" i="1"/>
  <c r="O245" i="1"/>
  <c r="O284" i="1"/>
  <c r="O286" i="1"/>
  <c r="N307" i="1"/>
  <c r="O340" i="1"/>
  <c r="N383" i="1"/>
  <c r="O385" i="1"/>
  <c r="O389" i="1"/>
  <c r="N389" i="1"/>
  <c r="O450" i="1"/>
  <c r="O456" i="1"/>
  <c r="O458" i="1"/>
  <c r="O462" i="1"/>
  <c r="N462" i="1"/>
  <c r="O502" i="1"/>
  <c r="N502" i="1"/>
  <c r="O15" i="1"/>
  <c r="N15" i="1"/>
  <c r="O169" i="1"/>
  <c r="N169" i="1"/>
  <c r="O490" i="1"/>
  <c r="N490" i="1"/>
  <c r="O561" i="1"/>
  <c r="N561" i="1"/>
  <c r="O569" i="1"/>
  <c r="N569" i="1"/>
  <c r="O10" i="1"/>
  <c r="O66" i="1"/>
  <c r="N160" i="1"/>
  <c r="N329" i="1"/>
  <c r="O372" i="1"/>
  <c r="N419" i="1"/>
  <c r="O429" i="1"/>
  <c r="N429" i="1"/>
  <c r="O43" i="1"/>
  <c r="N43" i="1"/>
  <c r="O59" i="1"/>
  <c r="O68" i="1"/>
  <c r="N68" i="1"/>
  <c r="N77" i="1"/>
  <c r="O88" i="1"/>
  <c r="N88" i="1"/>
  <c r="N101" i="1"/>
  <c r="O110" i="1"/>
  <c r="N110" i="1"/>
  <c r="O125" i="1"/>
  <c r="N125" i="1"/>
  <c r="O180" i="1"/>
  <c r="N180" i="1"/>
  <c r="O186" i="1"/>
  <c r="N188" i="1"/>
  <c r="O188" i="1"/>
  <c r="N192" i="1"/>
  <c r="O234" i="1"/>
  <c r="N236" i="1"/>
  <c r="N279" i="1"/>
  <c r="N327" i="1"/>
  <c r="O333" i="1"/>
  <c r="N333" i="1"/>
  <c r="O366" i="1"/>
  <c r="N368" i="1"/>
  <c r="O370" i="1"/>
  <c r="O374" i="1"/>
  <c r="O378" i="1"/>
  <c r="N378" i="1"/>
  <c r="N413" i="1"/>
  <c r="O417" i="1"/>
  <c r="N417" i="1"/>
  <c r="O494" i="1"/>
  <c r="N494" i="1"/>
  <c r="O519" i="1"/>
  <c r="N519" i="1"/>
  <c r="O533" i="1"/>
  <c r="N533" i="1"/>
  <c r="O555" i="1"/>
  <c r="N555" i="1"/>
  <c r="O8" i="1"/>
  <c r="O294" i="1"/>
  <c r="N294" i="1"/>
  <c r="O71" i="1"/>
  <c r="N71" i="1"/>
  <c r="O102" i="1"/>
  <c r="N102" i="1"/>
  <c r="O124" i="1"/>
  <c r="N124" i="1"/>
  <c r="N128" i="1"/>
  <c r="O128" i="1"/>
  <c r="O195" i="1"/>
  <c r="N195" i="1"/>
  <c r="O239" i="1"/>
  <c r="N239" i="1"/>
  <c r="O26" i="1"/>
  <c r="N26" i="1"/>
  <c r="N91" i="1"/>
  <c r="O141" i="1"/>
  <c r="N141" i="1"/>
  <c r="O218" i="1"/>
  <c r="N253" i="1"/>
  <c r="O305" i="1"/>
  <c r="N305" i="1"/>
  <c r="O338" i="1"/>
  <c r="O346" i="1"/>
  <c r="O350" i="1"/>
  <c r="N350" i="1"/>
  <c r="O516" i="1"/>
  <c r="N516" i="1"/>
  <c r="O46" i="1"/>
  <c r="N46" i="1"/>
  <c r="N119" i="1"/>
  <c r="O203" i="1"/>
  <c r="N203" i="1"/>
  <c r="N393" i="1"/>
  <c r="O393" i="1"/>
  <c r="O97" i="1"/>
  <c r="N97" i="1"/>
  <c r="N145" i="1"/>
  <c r="N171" i="1"/>
  <c r="O484" i="1"/>
  <c r="N484" i="1"/>
  <c r="N496" i="1"/>
  <c r="O496" i="1"/>
  <c r="O99" i="1"/>
  <c r="N99" i="1"/>
  <c r="O108" i="1"/>
  <c r="N147" i="1"/>
  <c r="O178" i="1"/>
  <c r="O228" i="1"/>
  <c r="N228" i="1"/>
  <c r="N409" i="1"/>
  <c r="O196" i="1"/>
  <c r="N196" i="1"/>
  <c r="O250" i="1"/>
  <c r="N250" i="1"/>
  <c r="O275" i="1"/>
  <c r="N275" i="1"/>
  <c r="O18" i="1"/>
  <c r="N18" i="1"/>
  <c r="O52" i="1"/>
  <c r="O116" i="1"/>
  <c r="N116" i="1"/>
  <c r="N129" i="1"/>
  <c r="N211" i="1"/>
  <c r="O217" i="1"/>
  <c r="N217" i="1"/>
  <c r="N240" i="1"/>
  <c r="N246" i="1"/>
  <c r="O246" i="1"/>
  <c r="N437" i="1"/>
  <c r="N447" i="1"/>
  <c r="O457" i="1"/>
  <c r="N457" i="1"/>
  <c r="N505" i="1"/>
  <c r="O541" i="1"/>
  <c r="N541" i="1"/>
  <c r="O543" i="1"/>
  <c r="N543" i="1"/>
  <c r="O547" i="1"/>
  <c r="N570" i="1"/>
  <c r="O570" i="1"/>
  <c r="O139" i="1"/>
  <c r="N139" i="1"/>
  <c r="O544" i="1"/>
  <c r="N544" i="1"/>
  <c r="N35" i="1"/>
  <c r="O150" i="1"/>
  <c r="O249" i="1"/>
  <c r="N249" i="1"/>
  <c r="O342" i="1"/>
  <c r="N348" i="1"/>
  <c r="O446" i="1"/>
  <c r="N446" i="1"/>
  <c r="N530" i="1"/>
  <c r="N3" i="1"/>
  <c r="O57" i="1"/>
  <c r="N57" i="1"/>
  <c r="O82" i="1"/>
  <c r="N82" i="1"/>
  <c r="O214" i="1"/>
  <c r="N214" i="1"/>
  <c r="O261" i="1"/>
  <c r="N261" i="1"/>
  <c r="O12" i="1"/>
  <c r="N12" i="1"/>
  <c r="N21" i="1"/>
  <c r="N48" i="1"/>
  <c r="O158" i="1"/>
  <c r="N158" i="1"/>
  <c r="N325" i="1"/>
  <c r="O486" i="1"/>
  <c r="N488" i="1"/>
  <c r="O32" i="1"/>
  <c r="N32" i="1"/>
  <c r="O127" i="1"/>
  <c r="N127" i="1"/>
  <c r="O238" i="1"/>
  <c r="N238" i="1"/>
  <c r="O277" i="1"/>
  <c r="N277" i="1"/>
  <c r="O337" i="1"/>
  <c r="N337" i="1"/>
  <c r="O517" i="1"/>
  <c r="N517" i="1"/>
  <c r="O572" i="1"/>
  <c r="N572" i="1"/>
  <c r="N25" i="1"/>
  <c r="N45" i="1"/>
  <c r="N72" i="1"/>
  <c r="N103" i="1"/>
  <c r="O138" i="1"/>
  <c r="N138" i="1"/>
  <c r="N140" i="1"/>
  <c r="O153" i="1"/>
  <c r="N153" i="1"/>
  <c r="O29" i="1"/>
  <c r="N29" i="1"/>
  <c r="O54" i="1"/>
  <c r="N54" i="1"/>
  <c r="N63" i="1"/>
  <c r="N105" i="1"/>
  <c r="O155" i="1"/>
  <c r="N155" i="1"/>
  <c r="O164" i="1"/>
  <c r="O221" i="1"/>
  <c r="N221" i="1"/>
  <c r="O223" i="1"/>
  <c r="N223" i="1"/>
  <c r="O289" i="1"/>
  <c r="N289" i="1"/>
  <c r="O316" i="1"/>
  <c r="N353" i="1"/>
  <c r="O445" i="1"/>
  <c r="N445" i="1"/>
  <c r="O515" i="1"/>
  <c r="N515" i="1"/>
  <c r="O537" i="1"/>
  <c r="N537" i="1"/>
  <c r="O568" i="1"/>
  <c r="N568" i="1"/>
  <c r="O40" i="1"/>
  <c r="N40" i="1"/>
  <c r="O83" i="1"/>
  <c r="N83" i="1"/>
  <c r="O144" i="1"/>
  <c r="N144" i="1"/>
  <c r="O166" i="1"/>
  <c r="N166" i="1"/>
  <c r="O170" i="1"/>
  <c r="N170" i="1"/>
  <c r="O200" i="1"/>
  <c r="N200" i="1"/>
  <c r="O322" i="1"/>
  <c r="N322" i="1"/>
  <c r="O485" i="1"/>
  <c r="N485" i="1"/>
  <c r="O74" i="1"/>
  <c r="N74" i="1"/>
  <c r="O4" i="1"/>
  <c r="N4" i="1"/>
  <c r="O38" i="1"/>
  <c r="N58" i="1"/>
  <c r="O85" i="1"/>
  <c r="N85" i="1"/>
  <c r="O94" i="1"/>
  <c r="N133" i="1"/>
  <c r="N213" i="1"/>
  <c r="O260" i="1"/>
  <c r="O262" i="1"/>
  <c r="N264" i="1"/>
  <c r="O266" i="1"/>
  <c r="N266" i="1"/>
  <c r="N355" i="1"/>
  <c r="O361" i="1"/>
  <c r="N361" i="1"/>
  <c r="O394" i="1"/>
  <c r="O398" i="1"/>
  <c r="O402" i="1"/>
  <c r="N404" i="1"/>
  <c r="O406" i="1"/>
  <c r="N406" i="1"/>
  <c r="N465" i="1"/>
  <c r="O473" i="1"/>
  <c r="N473" i="1"/>
  <c r="O509" i="1"/>
  <c r="N509" i="1"/>
  <c r="O566" i="1"/>
  <c r="N566" i="1"/>
  <c r="O524" i="1"/>
  <c r="N524" i="1"/>
  <c r="O526" i="1"/>
  <c r="N526" i="1"/>
  <c r="O579" i="1"/>
  <c r="N579" i="1"/>
  <c r="O498" i="1"/>
  <c r="N498" i="1"/>
  <c r="N553" i="1"/>
  <c r="O557" i="1"/>
  <c r="N557" i="1"/>
  <c r="O210" i="1"/>
  <c r="N210" i="1"/>
  <c r="O504" i="1"/>
  <c r="N504" i="1"/>
  <c r="O551" i="1"/>
  <c r="N551" i="1"/>
  <c r="O235" i="1"/>
  <c r="N235" i="1"/>
  <c r="N242" i="1"/>
  <c r="N255" i="1"/>
  <c r="O268" i="1"/>
  <c r="N283" i="1"/>
  <c r="O296" i="1"/>
  <c r="O481" i="1"/>
  <c r="N481" i="1"/>
  <c r="N483" i="1"/>
  <c r="O487" i="1"/>
  <c r="N487" i="1"/>
  <c r="O538" i="1"/>
  <c r="N538" i="1"/>
  <c r="O540" i="1"/>
  <c r="N540" i="1"/>
  <c r="N479" i="1"/>
  <c r="O500" i="1"/>
  <c r="N559" i="1"/>
  <c r="O193" i="1"/>
  <c r="N193" i="1"/>
  <c r="O219" i="1"/>
  <c r="N219" i="1"/>
  <c r="N311" i="1"/>
  <c r="O324" i="1"/>
  <c r="N339" i="1"/>
  <c r="O352" i="1"/>
  <c r="N367" i="1"/>
  <c r="O380" i="1"/>
  <c r="N395" i="1"/>
  <c r="O408" i="1"/>
  <c r="O580" i="1"/>
  <c r="N580" i="1"/>
  <c r="O529" i="1"/>
  <c r="N529" i="1"/>
  <c r="O207" i="1"/>
  <c r="N207" i="1"/>
  <c r="O263" i="1"/>
  <c r="N263" i="1"/>
  <c r="O274" i="1"/>
  <c r="O291" i="1"/>
  <c r="N291" i="1"/>
  <c r="N313" i="1"/>
  <c r="N315" i="1"/>
  <c r="O328" i="1"/>
  <c r="N341" i="1"/>
  <c r="N343" i="1"/>
  <c r="O356" i="1"/>
  <c r="N369" i="1"/>
  <c r="N371" i="1"/>
  <c r="O384" i="1"/>
  <c r="N397" i="1"/>
  <c r="N399" i="1"/>
  <c r="O412" i="1"/>
  <c r="N425" i="1"/>
  <c r="N427" i="1"/>
  <c r="O440" i="1"/>
  <c r="N453" i="1"/>
  <c r="N455" i="1"/>
  <c r="O472" i="1"/>
  <c r="N474" i="1"/>
  <c r="O476" i="1"/>
  <c r="N476" i="1"/>
  <c r="O523" i="1"/>
  <c r="N523" i="1"/>
  <c r="N531" i="1"/>
  <c r="N567" i="1"/>
  <c r="O571" i="1"/>
  <c r="N571" i="1"/>
  <c r="O470" i="1"/>
  <c r="N470" i="1"/>
  <c r="O527" i="1"/>
  <c r="N527" i="1"/>
  <c r="O252" i="1"/>
  <c r="N252" i="1"/>
  <c r="O280" i="1"/>
  <c r="N280" i="1"/>
  <c r="O317" i="1"/>
  <c r="N317" i="1"/>
  <c r="O319" i="1"/>
  <c r="N319" i="1"/>
  <c r="O345" i="1"/>
  <c r="N345" i="1"/>
  <c r="O347" i="1"/>
  <c r="N347" i="1"/>
  <c r="O373" i="1"/>
  <c r="N373" i="1"/>
  <c r="O375" i="1"/>
  <c r="N375" i="1"/>
  <c r="O401" i="1"/>
  <c r="N401" i="1"/>
  <c r="O403" i="1"/>
  <c r="N403" i="1"/>
  <c r="O414" i="1"/>
  <c r="O431" i="1"/>
  <c r="N431" i="1"/>
  <c r="O442" i="1"/>
  <c r="O459" i="1"/>
  <c r="N459" i="1"/>
  <c r="N493" i="1"/>
  <c r="O510" i="1"/>
  <c r="O512" i="1"/>
  <c r="N512" i="1"/>
  <c r="O565" i="1"/>
  <c r="N565" i="1"/>
  <c r="N573" i="1"/>
  <c r="O308" i="1"/>
  <c r="N308" i="1"/>
  <c r="O336" i="1"/>
  <c r="N336" i="1"/>
  <c r="O364" i="1"/>
  <c r="N364" i="1"/>
  <c r="O392" i="1"/>
  <c r="N392" i="1"/>
  <c r="O420" i="1"/>
  <c r="N420" i="1"/>
  <c r="O448" i="1"/>
  <c r="N448" i="1"/>
  <c r="O495" i="1"/>
  <c r="N495" i="1"/>
  <c r="O499" i="1"/>
  <c r="N499" i="1"/>
  <c r="O501" i="1"/>
  <c r="N501" i="1"/>
  <c r="O552" i="1"/>
  <c r="N552" i="1"/>
  <c r="O554" i="1"/>
  <c r="N554" i="1"/>
  <c r="O190" i="1"/>
  <c r="O202" i="1"/>
  <c r="O216" i="1"/>
  <c r="N241" i="1"/>
  <c r="N503" i="1"/>
  <c r="O556" i="1"/>
  <c r="N518" i="1"/>
  <c r="N532" i="1"/>
  <c r="N546" i="1"/>
  <c r="N560" i="1"/>
  <c r="N574" i="1"/>
</calcChain>
</file>

<file path=xl/sharedStrings.xml><?xml version="1.0" encoding="utf-8"?>
<sst xmlns="http://schemas.openxmlformats.org/spreadsheetml/2006/main" count="5703" uniqueCount="1575">
  <si>
    <t>Study_ID</t>
  </si>
  <si>
    <t>Source_Row</t>
  </si>
  <si>
    <t>Patient_Key_hash</t>
  </si>
  <si>
    <t>Patient_Row_Count</t>
  </si>
  <si>
    <t>Age</t>
  </si>
  <si>
    <t>Sex</t>
  </si>
  <si>
    <t>Clinical_Halitosis</t>
  </si>
  <si>
    <t>Clinical_Xerostomia_or_SalivaryDysfunction</t>
  </si>
  <si>
    <t>H2S_ppb</t>
  </si>
  <si>
    <t>CH3SH_ppb</t>
  </si>
  <si>
    <t>VSC_ppb</t>
  </si>
  <si>
    <t>VSC_cutoff_ppb</t>
  </si>
  <si>
    <t>VSC_halitosis</t>
  </si>
  <si>
    <t>VSC_halitosis_label</t>
  </si>
  <si>
    <t>Halitosis_Profile</t>
  </si>
  <si>
    <t>log_VSC</t>
  </si>
  <si>
    <t>log_H2S_plus1</t>
  </si>
  <si>
    <t>log_CH3SH_plus1</t>
  </si>
  <si>
    <t>CH3SH_fraction_of_VSC</t>
  </si>
  <si>
    <t>CH3SH_dominant</t>
  </si>
  <si>
    <t>VSC_Tertile</t>
  </si>
  <si>
    <t>VSC_Tertile_numeric</t>
  </si>
  <si>
    <t>Salivary_pH</t>
  </si>
  <si>
    <t>Salivary_buffer</t>
  </si>
  <si>
    <t>UFR_mL_min</t>
  </si>
  <si>
    <t>SFR_mL_min</t>
  </si>
  <si>
    <t>Sticky_Saliva_raw</t>
  </si>
  <si>
    <t>Sticky_Saliva_binary</t>
  </si>
  <si>
    <t>Oral_Hygiene_raw</t>
  </si>
  <si>
    <t>Poor_Oral_Hygiene</t>
  </si>
  <si>
    <t>Calculus_raw</t>
  </si>
  <si>
    <t>Calculus_present</t>
  </si>
  <si>
    <t>Tongue_Coating_raw</t>
  </si>
  <si>
    <t>Tongue_Coating_present</t>
  </si>
  <si>
    <t>Systemic_Disease_Count</t>
  </si>
  <si>
    <t>Medication_Class_Count</t>
  </si>
  <si>
    <t>Xerogenic_Medication_Burden</t>
  </si>
  <si>
    <t>Hypertension</t>
  </si>
  <si>
    <t>Diabetes_Mellitus</t>
  </si>
  <si>
    <t>Dyslipidemias</t>
  </si>
  <si>
    <t>Thyroid_Diseases</t>
  </si>
  <si>
    <t>Heart_Diseases</t>
  </si>
  <si>
    <t>Osteoporosis</t>
  </si>
  <si>
    <t>Urologic_Diseases</t>
  </si>
  <si>
    <t>Mental_Disorders</t>
  </si>
  <si>
    <t>Hypersensitivity</t>
  </si>
  <si>
    <t>Neoplasms</t>
  </si>
  <si>
    <t>Asthma</t>
  </si>
  <si>
    <t>Liver_Diseases</t>
  </si>
  <si>
    <t>Rheumatic_Diseases</t>
  </si>
  <si>
    <t>Kidney_Diseases</t>
  </si>
  <si>
    <t>Epilepsy</t>
  </si>
  <si>
    <t>Osteoarthritis</t>
  </si>
  <si>
    <t>Cerebrovascular_Disorders</t>
  </si>
  <si>
    <t>Parkinson_Disease</t>
  </si>
  <si>
    <t>Sjogren_Syndrome</t>
  </si>
  <si>
    <t>Gastroesophageal_Reflux_Disease_or_Gastritis</t>
  </si>
  <si>
    <t>Hypolipidemic_Agents</t>
  </si>
  <si>
    <t>Antihypertensive_Agents</t>
  </si>
  <si>
    <t>Bone_Density_Conservation_Agents</t>
  </si>
  <si>
    <t>Analgesics_Anti_Inflammatory_Agents</t>
  </si>
  <si>
    <t>Hypnotics_and_Sedatives</t>
  </si>
  <si>
    <t>Hypoglycemic_Agents</t>
  </si>
  <si>
    <t>Platelet_Aggregation_Inhibitors_or_Anticoagulants</t>
  </si>
  <si>
    <t>Urological_Agents</t>
  </si>
  <si>
    <t>Antidepressive_Agents</t>
  </si>
  <si>
    <t>Thyroid_Hormones</t>
  </si>
  <si>
    <t>Gastrointestinal_Agents</t>
  </si>
  <si>
    <t>Hormone_Therapy_or_Hormonal_Antineoplastic_Agents</t>
  </si>
  <si>
    <t>Anti_Allergic_Agents</t>
  </si>
  <si>
    <t>Anticonvulsants</t>
  </si>
  <si>
    <t>Antiasthmatic_Agents</t>
  </si>
  <si>
    <t>Antiparkinson_Agents</t>
  </si>
  <si>
    <t>Dementia_Drugs</t>
  </si>
  <si>
    <t>Systemic_History_Text_for_Audit</t>
  </si>
  <si>
    <t>Other_Medication_Text_for_Audit</t>
  </si>
  <si>
    <t>HLT0001</t>
  </si>
  <si>
    <t>1ef6c589c558</t>
  </si>
  <si>
    <t>M</t>
  </si>
  <si>
    <t>Middle</t>
  </si>
  <si>
    <t>X</t>
  </si>
  <si>
    <t>Acceptable</t>
  </si>
  <si>
    <t>Moderate</t>
  </si>
  <si>
    <t>대퇴골 골절, 손목 골절, 안면붕괴에 의한 정형외과 수술(2017-09-07)</t>
  </si>
  <si>
    <t>산골약(2T/day)</t>
  </si>
  <si>
    <t>HLT0002</t>
  </si>
  <si>
    <t>2b27d4650a12</t>
  </si>
  <si>
    <t>F</t>
  </si>
  <si>
    <t>x</t>
  </si>
  <si>
    <t>poor</t>
  </si>
  <si>
    <t>severe</t>
  </si>
  <si>
    <t>moderate</t>
  </si>
  <si>
    <t>고혈압, 요로결석 제거(3,4YA, 경희의료원)</t>
  </si>
  <si>
    <t>고혈압약(1T/day,강북삼성병원), 고지혈증약(1T/day, 강북삼성병원), 신경안정제(불면증약, 1T/day,L/C)</t>
  </si>
  <si>
    <t>HLT0003</t>
  </si>
  <si>
    <t>7f612bfc975c</t>
  </si>
  <si>
    <t>High</t>
  </si>
  <si>
    <t>N</t>
  </si>
  <si>
    <t>None</t>
  </si>
  <si>
    <t>충수담관절제술(35YA, 경희의료원)</t>
  </si>
  <si>
    <t>HLT0004</t>
  </si>
  <si>
    <t>477110c36d0b</t>
  </si>
  <si>
    <t>Low</t>
  </si>
  <si>
    <t>Severe</t>
  </si>
  <si>
    <t>심장질환</t>
  </si>
  <si>
    <t>알레르기(약물 등) ※ 고기</t>
  </si>
  <si>
    <t>HLT0005</t>
  </si>
  <si>
    <t>8da85f5598a8</t>
  </si>
  <si>
    <t>O</t>
  </si>
  <si>
    <t>심장질환, 천식, 혈소판응집억제제</t>
  </si>
  <si>
    <t>aspirin, 쇼그렌 증후군</t>
  </si>
  <si>
    <t>HLT0006</t>
  </si>
  <si>
    <t>c1b6dfdf113c</t>
  </si>
  <si>
    <t>Good</t>
  </si>
  <si>
    <t>고혈압, 천식, 백내장수술(2YA,구리성모병원 안과)</t>
  </si>
  <si>
    <t>고혈압약(1T/Day), 고지혈증약(1T/Day), 천식약(2회/DAY)</t>
  </si>
  <si>
    <t>HLT0007</t>
  </si>
  <si>
    <t>cffb1383d652</t>
  </si>
  <si>
    <t>당뇨, 심장질환</t>
  </si>
  <si>
    <t>N/S</t>
  </si>
  <si>
    <t>HLT0008</t>
  </si>
  <si>
    <t>ab72315ba02d</t>
  </si>
  <si>
    <t>고혈압약(1T/d), 간질약(항경련제 12T/day), 여성호르몬제(3T/day)</t>
  </si>
  <si>
    <t>왼쪽 유방암 수술(2022.09; 건국대학교병원), 디스크 협착수술(2023.08.24;아산병원)</t>
  </si>
  <si>
    <t>HLT0009</t>
  </si>
  <si>
    <t>b667be8722be</t>
  </si>
  <si>
    <t>스카치테이프 알러지, 유방암 수술(1YA, 24.07., 경희의료원)</t>
  </si>
  <si>
    <t>버제니아정(2T,1D, 1YA, 경희의료원), 페마라(1T,1D, 1YA, 경희의료원)</t>
  </si>
  <si>
    <t>HLT0010</t>
  </si>
  <si>
    <t>7e824baae00b</t>
  </si>
  <si>
    <t>고혈압,심장질환</t>
  </si>
  <si>
    <t>고혈압(1T/day, L/C), 고지혈증, 심장약(항응고제 릭시아나정 1T/day, 백병원), 기넥신</t>
  </si>
  <si>
    <t>HLT0011</t>
  </si>
  <si>
    <t>2bdfdfcd7d4a</t>
  </si>
  <si>
    <t>고혈압, 당뇨</t>
  </si>
  <si>
    <t>무릎수술, 허리수술</t>
  </si>
  <si>
    <t>HLT0012</t>
  </si>
  <si>
    <t>44630a3b24c5</t>
  </si>
  <si>
    <t>Poor</t>
  </si>
  <si>
    <t>천식약(몬테리진캡슐, 설포라제캡슐, 움카민플러스시럽, 렐바100엘립타, 4-5MA, 서울의료원)</t>
  </si>
  <si>
    <t>허리협착증(셀브렉캡슐, 리팔몬정, 레일론정,1YA, L/C)</t>
  </si>
  <si>
    <t>HLT0013</t>
  </si>
  <si>
    <t>3a808c2ad426</t>
  </si>
  <si>
    <t>고혈압, 고지혈증</t>
  </si>
  <si>
    <t>HLT0014</t>
  </si>
  <si>
    <t>b4398161cfe0</t>
  </si>
  <si>
    <t>고혈압, 갑상선 질환</t>
  </si>
  <si>
    <t>갑상선 수술(약 20년 정도 전), 자궁수술(30년 전)</t>
  </si>
  <si>
    <t>HLT0015</t>
  </si>
  <si>
    <t>고혈압, 갑상선 질환, 정신질환</t>
  </si>
  <si>
    <t>골다공증 치료제, 신경안정제 0.5tab/day, 골다공증 주사, 신지로이드 복용 0.5tay/day</t>
  </si>
  <si>
    <t>HLT0016</t>
  </si>
  <si>
    <t>HLT0017</t>
  </si>
  <si>
    <t>HLT0018</t>
  </si>
  <si>
    <t>HLT0019</t>
  </si>
  <si>
    <t>HLT0020</t>
  </si>
  <si>
    <t>HLT0021</t>
  </si>
  <si>
    <t>HLT0022</t>
  </si>
  <si>
    <t>342ff2939595</t>
  </si>
  <si>
    <t>비염</t>
  </si>
  <si>
    <t>HLT0023</t>
  </si>
  <si>
    <t>7729262b38e8</t>
  </si>
  <si>
    <t>고혈압, 당뇨, 골다공증</t>
  </si>
  <si>
    <t>오른쪽 안면마비(경희의료원, 5YA, 후유증)</t>
  </si>
  <si>
    <t>HLT0024</t>
  </si>
  <si>
    <t>4d7e0eec3c47</t>
  </si>
  <si>
    <t>갑상선기능저하증,요로결석</t>
  </si>
  <si>
    <t>HLT0025</t>
  </si>
  <si>
    <t>3a1eac3fe277</t>
  </si>
  <si>
    <t>고혈압, 당뇨, 심장질환, 갑상선 질환</t>
  </si>
  <si>
    <t>부정맥약(10YA),갑상선약,당뇨약(6MA)(한양대학교병원), 수술력 : 다리인공관절수술</t>
  </si>
  <si>
    <t>HLT0026</t>
  </si>
  <si>
    <t>bded76a52c56</t>
  </si>
  <si>
    <t>고혈압, 심장질환</t>
  </si>
  <si>
    <t>고혈압약 (0.5T/day), 부정맥약 (1T/day), 고지혈증약(0.5T/day), 역류성식도염 (1T/day)</t>
  </si>
  <si>
    <t>HLT0027</t>
  </si>
  <si>
    <t>92fb8de453f8</t>
  </si>
  <si>
    <t>아스피린, 고지혈증약(1T/day,6-7Y), 콜레스테롤약(1T/day, 6-7yrs), 우루사약(4T/day, 2yrs)</t>
  </si>
  <si>
    <t>HLT0028</t>
  </si>
  <si>
    <t>5e4bad71b318</t>
  </si>
  <si>
    <t>불면증,우울증</t>
  </si>
  <si>
    <t>수면제,우울증약</t>
  </si>
  <si>
    <t>HLT0029</t>
  </si>
  <si>
    <t>수면제, 우울증 치료제, 신경과약</t>
  </si>
  <si>
    <t>HLT0030</t>
  </si>
  <si>
    <t>cc5d1292e58c</t>
  </si>
  <si>
    <t>고혈압</t>
  </si>
  <si>
    <t>고관절 수술, 골다공증 치료제</t>
  </si>
  <si>
    <t>HLT0031</t>
  </si>
  <si>
    <t>eedae23ae2ac</t>
  </si>
  <si>
    <t>고혈압, 류마티즘, 비뇨기질환</t>
  </si>
  <si>
    <t>류마티스약, 전립선 비대증(2T/day), 인공관절 수술(4개월 전)</t>
  </si>
  <si>
    <t>HLT0032</t>
  </si>
  <si>
    <t>e0de971d59d5</t>
  </si>
  <si>
    <t>백내장수술(5YA)</t>
  </si>
  <si>
    <t>HLT0033</t>
  </si>
  <si>
    <t>db6236062dc9</t>
  </si>
  <si>
    <t>골다공증</t>
  </si>
  <si>
    <t>골다공증 치료제(바디본, 2M, 1T/day)</t>
  </si>
  <si>
    <t>HLT0034</t>
  </si>
  <si>
    <t>bd9834470d3c</t>
  </si>
  <si>
    <t>비뇨기질환, 폐암수술, 소변혈류</t>
  </si>
  <si>
    <t>HLT0035</t>
  </si>
  <si>
    <t>779faa8437e1</t>
  </si>
  <si>
    <t>간질환(Hepa B)</t>
  </si>
  <si>
    <t>골다공증 경구약(L/C, 현재 중단), 고지혈증약</t>
  </si>
  <si>
    <t>HLT0036</t>
  </si>
  <si>
    <t>110ae21a0ec5</t>
  </si>
  <si>
    <t>o</t>
  </si>
  <si>
    <t>고혈압, 수꽃 알러지</t>
  </si>
  <si>
    <t>혈압약(아침에 1번, 1알), 양쪽 유방 맘모톱 시술(1YA), 축농증(10YA)</t>
  </si>
  <si>
    <t>HLT0037</t>
  </si>
  <si>
    <t>e4b6dd88b48b</t>
  </si>
  <si>
    <t>고지혈증(15년), 혈압, 관절약(2년)</t>
  </si>
  <si>
    <t>HLT0038</t>
  </si>
  <si>
    <t>c64f72281676</t>
  </si>
  <si>
    <t>고혈압 1T/day</t>
  </si>
  <si>
    <t>HLT0039</t>
  </si>
  <si>
    <t>3add3d725a52</t>
  </si>
  <si>
    <t>당뇨</t>
  </si>
  <si>
    <t>당뇨 약물 (6T/day)</t>
  </si>
  <si>
    <t>HLT0040</t>
  </si>
  <si>
    <t>492aa302f885</t>
  </si>
  <si>
    <t>진통소염제(고관절/허리, 라마벡스,낙센에스, 1YA)</t>
  </si>
  <si>
    <t>HLT0041</t>
  </si>
  <si>
    <t>43860af832cb</t>
  </si>
  <si>
    <t>HLT0042</t>
  </si>
  <si>
    <t>eba1863c4b89</t>
  </si>
  <si>
    <t>HLT0043</t>
  </si>
  <si>
    <t>4836e953a698</t>
  </si>
  <si>
    <t>HLT0044</t>
  </si>
  <si>
    <t>HLT0045</t>
  </si>
  <si>
    <t>HLT0046</t>
  </si>
  <si>
    <t>HLT0047</t>
  </si>
  <si>
    <t>HLT0048</t>
  </si>
  <si>
    <t>HLT0049</t>
  </si>
  <si>
    <t>HLT0050</t>
  </si>
  <si>
    <t>HLT0051</t>
  </si>
  <si>
    <t>a2f061390f6e</t>
  </si>
  <si>
    <t>수면제(자나팜) 복용(1T/day,15YA), 항우울제 복용(1T/day,15YA), 여성호르몬제 복용(1T/day, 1YA)</t>
  </si>
  <si>
    <t>쇼그렌 증후군 검사 결과 음성</t>
  </si>
  <si>
    <t>HLT0052</t>
  </si>
  <si>
    <t>b364fdb2000d</t>
  </si>
  <si>
    <t>당뇨, 심장질환, 신장질환, 출혈성질환</t>
  </si>
  <si>
    <t>불면증-수면제 복용중</t>
  </si>
  <si>
    <t>HLT0053</t>
  </si>
  <si>
    <t>HLT0054</t>
  </si>
  <si>
    <t>f62df817de59</t>
  </si>
  <si>
    <t>전립선약(10YA, 국립의료원,3T/day, 종류 2가지</t>
  </si>
  <si>
    <t>HLT0055</t>
  </si>
  <si>
    <t>74fe0fd0ed54</t>
  </si>
  <si>
    <t>고혈압, 심장질환, 갑상선 질환</t>
  </si>
  <si>
    <t>ㅇ</t>
  </si>
  <si>
    <t>HLT0056</t>
  </si>
  <si>
    <t>75d4ef756357</t>
  </si>
  <si>
    <t>HLT0057</t>
  </si>
  <si>
    <t>e0f0d24ee59f</t>
  </si>
  <si>
    <t>백반증 치료(본원, 20YA)</t>
  </si>
  <si>
    <t>HLT0058</t>
  </si>
  <si>
    <t>0af2e381a09e</t>
  </si>
  <si>
    <t>고지혈증약(1T/day), 고혈압약(2T/day), 아스피린(1T/day)</t>
  </si>
  <si>
    <t>HLT0059</t>
  </si>
  <si>
    <t>4e7b7dceb0b8</t>
  </si>
  <si>
    <t>파킨슨병약 복용 중(5-6YA)</t>
  </si>
  <si>
    <t>HLT0060</t>
  </si>
  <si>
    <t>0bbc4e2d5030</t>
  </si>
  <si>
    <t>텔미트렌 정 mg(아침식후), 바소트롤정 (아침식후), 시그마트정 (아침저녁식후), 액시마정(아침저녁식후), 종근당글리아티린연질캡슐(아침저녁식후), 아스피린장용정(아침식후), 유니네콜정(아침저녁식후), 실도신캡슐(취침전)</t>
  </si>
  <si>
    <t>HLT0061</t>
  </si>
  <si>
    <t>89cca1fce6fe</t>
  </si>
  <si>
    <t>경희의료원 신경정신과(트리헥신정,자낙스정,모티리튼정,마도파,글리아타민)</t>
  </si>
  <si>
    <t>HLT0062</t>
  </si>
  <si>
    <t>d61d235b67b6</t>
  </si>
  <si>
    <t>심장질환, 고지혈증, 비뇨기질환약(1T/day, L/C), 골다공증 예방약(L/C), 협착증약(Pelubi CR tab, Arobest tab, Imotun cap, Tanamin tab, Shinbaro Tab, Noltec tab, 경희의료원),</t>
  </si>
  <si>
    <t>햇빛 알러지</t>
  </si>
  <si>
    <t>HLT0063</t>
  </si>
  <si>
    <t>77bb63307cf4</t>
  </si>
  <si>
    <t>HLT0064</t>
  </si>
  <si>
    <t>d2e0f799c50b</t>
  </si>
  <si>
    <t>HLT0065</t>
  </si>
  <si>
    <t>a33e61c7a442</t>
  </si>
  <si>
    <t>비염약 (1T/d)</t>
  </si>
  <si>
    <t>HLT0066</t>
  </si>
  <si>
    <t>HLT0067</t>
  </si>
  <si>
    <t>381831f11e8f</t>
  </si>
  <si>
    <t>고지혈증약(스타젯, 17DA, L/C)</t>
  </si>
  <si>
    <t>HLT0068</t>
  </si>
  <si>
    <t>7ba7774e0163</t>
  </si>
  <si>
    <t>HLT0069</t>
  </si>
  <si>
    <t>20402efbfd02</t>
  </si>
  <si>
    <t>장용종제거술(2020, 본원IG)</t>
  </si>
  <si>
    <t>HLT0070</t>
  </si>
  <si>
    <t>1d47dd1b26d0</t>
  </si>
  <si>
    <t>HLT0071</t>
  </si>
  <si>
    <t>HLT0072</t>
  </si>
  <si>
    <t>e808dcfaebe9</t>
  </si>
  <si>
    <t>담석제거수술</t>
  </si>
  <si>
    <t>HLT0073</t>
  </si>
  <si>
    <t>00c18f3db3b8</t>
  </si>
  <si>
    <t>고혈압 및 고지혈증약(10YA, L/C), 편두통약(10YA, L/C), 수면제(5YA, L/C)</t>
  </si>
  <si>
    <t>맹장수술(10YA, 위생병원)</t>
  </si>
  <si>
    <t>HLT0074</t>
  </si>
  <si>
    <t>ac30c0213578</t>
  </si>
  <si>
    <t>고지혈증약, 갑상선기능저하증약</t>
  </si>
  <si>
    <t>HLT0075</t>
  </si>
  <si>
    <t>67491dd3f9a7</t>
  </si>
  <si>
    <t>고혈압, 당뇨, 심장질환</t>
  </si>
  <si>
    <t>HLT0076</t>
  </si>
  <si>
    <t>9caf25e0a699</t>
  </si>
  <si>
    <t>고지혈증, 역류성 식도염</t>
  </si>
  <si>
    <t>HLT0077</t>
  </si>
  <si>
    <t>2ed17bb7a946</t>
  </si>
  <si>
    <t>수면제, 혈압약</t>
  </si>
  <si>
    <t>HLT0078</t>
  </si>
  <si>
    <t>bdd74d3ca2b0</t>
  </si>
  <si>
    <t>갑상선 질환, 비염, 고지혈증, 갑상선저하증, 퇴행성관절염</t>
  </si>
  <si>
    <t>고지혈증약, 갑상선약, 관절염약</t>
  </si>
  <si>
    <t>HLT0079</t>
  </si>
  <si>
    <t>혈소판응집억제제</t>
  </si>
  <si>
    <t>HLT0080</t>
  </si>
  <si>
    <t>HLT0081</t>
  </si>
  <si>
    <t>HLT0082</t>
  </si>
  <si>
    <t>691897eef26c</t>
  </si>
  <si>
    <t>HLT0083</t>
  </si>
  <si>
    <t>fabee73f9190</t>
  </si>
  <si>
    <t>비뇨기질환</t>
  </si>
  <si>
    <t>신경정신과약(불면증, 우울증), 정형외과약(d/t 무릎관절염, 허리디스크, 척추협착증, 손가락 관절염)</t>
  </si>
  <si>
    <t>HLT0084</t>
  </si>
  <si>
    <t>27d7a66c9bc9</t>
  </si>
  <si>
    <t>갑상선 질환</t>
  </si>
  <si>
    <t>고지혈증제(1T/1d),갑상선약(1T/1d)</t>
  </si>
  <si>
    <t>HLT0085</t>
  </si>
  <si>
    <t>6cb402dc22bb</t>
  </si>
  <si>
    <t>유방암 수술(9YA, 건국대학교 병원)</t>
  </si>
  <si>
    <t>위장약(3T/day), 콜레스테롤 약(1T/day)</t>
  </si>
  <si>
    <t>HLT0086</t>
  </si>
  <si>
    <t>3e6b8909fa75</t>
  </si>
  <si>
    <t>고혈압,비뇨기질환,고지혈증</t>
  </si>
  <si>
    <t>고지혈증약</t>
  </si>
  <si>
    <t>HLT0087</t>
  </si>
  <si>
    <t>ef911cc5a495</t>
  </si>
  <si>
    <t>고혈압, 골다공증 치료제</t>
  </si>
  <si>
    <t>위장약, 고혈압약, 고지혈증약</t>
  </si>
  <si>
    <t>HLT0088</t>
  </si>
  <si>
    <t>72e1653b2d94</t>
  </si>
  <si>
    <t>아스피린, 당뇨약, 고지혈증약</t>
  </si>
  <si>
    <t>HLT0089</t>
  </si>
  <si>
    <t>1b85e399c122</t>
  </si>
  <si>
    <t>고혈압,심장질환,신장질환</t>
  </si>
  <si>
    <t>HLT0090</t>
  </si>
  <si>
    <t>d1e19ed89e89</t>
  </si>
  <si>
    <t>갑상선기능저하증 약(1T/day)</t>
  </si>
  <si>
    <t>HLT0091</t>
  </si>
  <si>
    <t>HLT0092</t>
  </si>
  <si>
    <t>47178df3303a</t>
  </si>
  <si>
    <t>HLT0093</t>
  </si>
  <si>
    <t>cc0d9930d460</t>
  </si>
  <si>
    <t>당뇨,심장질환,비뇨기질환</t>
  </si>
  <si>
    <t>협심증수술</t>
  </si>
  <si>
    <t>HLT0094</t>
  </si>
  <si>
    <t>HLT0095</t>
  </si>
  <si>
    <t>add0c9622123</t>
  </si>
  <si>
    <t>고지혈증(1T/D), 갑상선저하증(0.5T/D)</t>
  </si>
  <si>
    <t>HLT0096</t>
  </si>
  <si>
    <t>daba45ec3e00</t>
  </si>
  <si>
    <t>고혈압, 당뇨, 간질환</t>
  </si>
  <si>
    <t>당뇨약(1T/D), 혈압약(0.5T/D),간질환약(10일정도 먹다가 2-3일전에 끊음),자궁적출술(20YA,제일병원) 쓸개적출술(20YA,아산병원), 담도개통술(20년전,아산병원)</t>
  </si>
  <si>
    <t>HLT0097</t>
  </si>
  <si>
    <t>0905d6b32044</t>
  </si>
  <si>
    <t>고지혈증약(L/C, 10YA)</t>
  </si>
  <si>
    <t>HLT0098</t>
  </si>
  <si>
    <t>703eb7ed8b13</t>
  </si>
  <si>
    <t>골다공증 치료제 ※ (경구약, 2YA, 1T/wk)</t>
  </si>
  <si>
    <t>HLT0099</t>
  </si>
  <si>
    <t>고지혈증, 골다공증약, 담낭수술</t>
  </si>
  <si>
    <t>HLT0100</t>
  </si>
  <si>
    <t>b3c40349005a</t>
  </si>
  <si>
    <t>골다공증 치료제</t>
  </si>
  <si>
    <t>HLT0101</t>
  </si>
  <si>
    <t>333b9c898f0f</t>
  </si>
  <si>
    <t>HLT0102</t>
  </si>
  <si>
    <t>140bc9309fa1</t>
  </si>
  <si>
    <t>Hepa-B</t>
  </si>
  <si>
    <t>HLT0103</t>
  </si>
  <si>
    <t>a041df0e54e2</t>
  </si>
  <si>
    <t>과민성대장증후군(고단백 음식 먹으면 입이 마르는 것을 느낌, 2YA, 아산병원)</t>
  </si>
  <si>
    <t>HLT0104</t>
  </si>
  <si>
    <t>3c89367e3349</t>
  </si>
  <si>
    <t>고혈압 ※ 1T/day, L/C, 기타 ※ 고지혈증(1T/day, L/C), 허리통증 진통제(간헐적, L/C)</t>
  </si>
  <si>
    <t>HLT0105</t>
  </si>
  <si>
    <t>18265c71270f</t>
  </si>
  <si>
    <t>당뇨, 비뇨기질환</t>
  </si>
  <si>
    <t>당뇨약(1T/day, 5YA), 비뇨기수술, 고관절수술</t>
  </si>
  <si>
    <t>HLT0106</t>
  </si>
  <si>
    <t>f17cee152916</t>
  </si>
  <si>
    <t>뇌줄중(2014), pituitary adenoma 수술(2008)</t>
  </si>
  <si>
    <t>HLT0107</t>
  </si>
  <si>
    <t>1b9cbf628a42</t>
  </si>
  <si>
    <t>고지혈증</t>
  </si>
  <si>
    <t>식욕억제제 복용중, 알레르기(약물 등)
항생제 ※ 가족력(어머니)-페니실린, 소염제 ※ 가족력(어머니)-폐 섬유화 치료약물, 음식 ※ 벌, 피부 가려움(풀 등)</t>
  </si>
  <si>
    <t>HLT0108</t>
  </si>
  <si>
    <t>19e72d307c81</t>
  </si>
  <si>
    <t>고지혈증약 (1T/day) , 역류성 식도염 약 (3T/day) 하지정맥류 약 (2T/day)</t>
  </si>
  <si>
    <t>HLT0109</t>
  </si>
  <si>
    <t>e699236728bf</t>
  </si>
  <si>
    <t>Y</t>
  </si>
  <si>
    <t>HLT0110</t>
  </si>
  <si>
    <t>fe6df70f9c73</t>
  </si>
  <si>
    <t>고혈압, 심장질환, 혈소판응집억제제, 고지혈증약</t>
  </si>
  <si>
    <t>관상동맥우회술(2013)</t>
  </si>
  <si>
    <t>HLT0111</t>
  </si>
  <si>
    <t>2b2b44edbce3</t>
  </si>
  <si>
    <t>갑상선 질환, 류마티즘</t>
  </si>
  <si>
    <t>골다공증 치료제 ※ 골감소증 영양제,  가슴섬유선종(17YA, 구리한양대병원), 비염으로 인한 코뼈 수술(10YA,경희의료원)</t>
  </si>
  <si>
    <t>HLT0112</t>
  </si>
  <si>
    <t>HLT0113</t>
  </si>
  <si>
    <t>섬유선종(15YA)</t>
  </si>
  <si>
    <t>HLT0114</t>
  </si>
  <si>
    <t>폐암수술(작년 11월)</t>
  </si>
  <si>
    <t>HLT0115</t>
  </si>
  <si>
    <t>c3885d3378dc</t>
  </si>
  <si>
    <t>심장질환, 혈소판응집억제제, 골다공증치료제</t>
  </si>
  <si>
    <t>백내장수술(1YA)</t>
  </si>
  <si>
    <t>HLT0116</t>
  </si>
  <si>
    <t>0e8f5d71bc47</t>
  </si>
  <si>
    <t>고혈압,당뇨,심장질환,비뇨기질환,쓸개수술</t>
  </si>
  <si>
    <t>혈압(1T/day - onset: 3yr ), 당뇨(1T/day- onset: 3yr ). 전립선 질환(1T/day - 언제부터 먹었는지 기억 안남), 피부질환, 우울증(공황장애 약 복용 - 경희의료원. 3yr)</t>
  </si>
  <si>
    <t>HLT0117</t>
  </si>
  <si>
    <t>none</t>
  </si>
  <si>
    <t>고혈압, 당뇨, 심장질화</t>
  </si>
  <si>
    <t>HLT0118</t>
  </si>
  <si>
    <t>e31db68c20af</t>
  </si>
  <si>
    <t>염증치료(이비인후과,L/C, 3-4MA)</t>
  </si>
  <si>
    <t>HLT0119</t>
  </si>
  <si>
    <t>HLT0120</t>
  </si>
  <si>
    <t>HLT0121</t>
  </si>
  <si>
    <t>748dd51d5569</t>
  </si>
  <si>
    <t>고혈압,갑상선</t>
  </si>
  <si>
    <t>허리 수술 (3년전), 무릎 수술 (작년)</t>
  </si>
  <si>
    <t>HLT0122</t>
  </si>
  <si>
    <t>HLT0123</t>
  </si>
  <si>
    <t>2d7ce4542eba</t>
  </si>
  <si>
    <t>HLT0124</t>
  </si>
  <si>
    <t>84be391e4284</t>
  </si>
  <si>
    <t>고혈압, 비뇨기질환</t>
  </si>
  <si>
    <t>전립선비대증약(1T/D, 20YA, L/C), 한미탐스릴(1T/D, 20YA, L/C), 리메론정(1T/D, 20YA, L/C), 정신과약(2006~2023, 데파스정, 리보트리정)</t>
  </si>
  <si>
    <t>HLT0125</t>
  </si>
  <si>
    <t>3dd53ae3f491</t>
  </si>
  <si>
    <t>수면제</t>
  </si>
  <si>
    <t>HLT0126</t>
  </si>
  <si>
    <t>1af1220e10a6</t>
  </si>
  <si>
    <t>론틴(2T/day), 뉴세라탐정(2T/day), 리넥신(1T/day)</t>
  </si>
  <si>
    <t>HLT0127</t>
  </si>
  <si>
    <t>11edcd9d0da2</t>
  </si>
  <si>
    <t>HLT0128</t>
  </si>
  <si>
    <t>59682e49dcf5</t>
  </si>
  <si>
    <t>폐암수술(2010,신촌세브란스병원)</t>
  </si>
  <si>
    <t>먹으면 눈이 아픈 약이 있는 것 같아요.</t>
  </si>
  <si>
    <t>HLT0129</t>
  </si>
  <si>
    <t>cb77fd2e9d38</t>
  </si>
  <si>
    <t>허리 협착증 수술</t>
  </si>
  <si>
    <t>HLT0130</t>
  </si>
  <si>
    <t>4cb269470587</t>
  </si>
  <si>
    <t>고혈압약(1T/Day), 전립선약 (1T/Day),위 선종 제거술</t>
  </si>
  <si>
    <t>HLT0131</t>
  </si>
  <si>
    <t>3fe705f55d83</t>
  </si>
  <si>
    <t>고혈압, 혈소판응집억제제</t>
  </si>
  <si>
    <t>HLT0132</t>
  </si>
  <si>
    <t>540049cf5a20</t>
  </si>
  <si>
    <t>고혈압(10Yrs, L/C), 당뇨(4-5Yrs, L/C), 심장약(병명모르심,6Yrs, L/C)고지혈증약(10Yrs, L/C)</t>
  </si>
  <si>
    <t>무릎수술(1YA, 본원)</t>
  </si>
  <si>
    <t>HLT0133</t>
  </si>
  <si>
    <t>76ada1f7f94e</t>
  </si>
  <si>
    <t>골다공증치료제, 호르몬제</t>
  </si>
  <si>
    <t>HLT0134</t>
  </si>
  <si>
    <t>381121fa7548</t>
  </si>
  <si>
    <t>당뇨(1T/day),유방암약</t>
  </si>
  <si>
    <t>HLT0135</t>
  </si>
  <si>
    <t>5494d2373ca0</t>
  </si>
  <si>
    <t>HLT0136</t>
  </si>
  <si>
    <t>HLT0137</t>
  </si>
  <si>
    <t>cece5343f976</t>
  </si>
  <si>
    <t>신장결석수술 (5년전,경희의료원)</t>
  </si>
  <si>
    <t>HLT0138</t>
  </si>
  <si>
    <t>HLT0139</t>
  </si>
  <si>
    <t>10149a7c7bff</t>
  </si>
  <si>
    <t>섬유근육통(2021, L/C)</t>
  </si>
  <si>
    <t>안구건조증(2019)</t>
  </si>
  <si>
    <t>HLT0140</t>
  </si>
  <si>
    <t>f552d60cff92</t>
  </si>
  <si>
    <t>위암수술(10YA), 삼차신경통 수술(3YA)</t>
  </si>
  <si>
    <t>HLT0141</t>
  </si>
  <si>
    <t>fe4bf5c41786</t>
  </si>
  <si>
    <t>갑상선질환</t>
  </si>
  <si>
    <t>골다공증 치료제, 갑상선암수술(5YA, 서울대병원), 위암수술(5YA, 서울대병원), 자궁경부암수술(10YA, L/C)</t>
  </si>
  <si>
    <t>HLT0142</t>
  </si>
  <si>
    <t>85039c3e2ac9</t>
  </si>
  <si>
    <t>다리 수술</t>
  </si>
  <si>
    <t>HLT0143</t>
  </si>
  <si>
    <t>무릎관절연골파열수술,어깨수술,하지정맥류수술</t>
  </si>
  <si>
    <t>HLT0144</t>
  </si>
  <si>
    <t>HLT0145</t>
  </si>
  <si>
    <t>HLT0146</t>
  </si>
  <si>
    <t>HLT0147</t>
  </si>
  <si>
    <t>HLT0148</t>
  </si>
  <si>
    <t>HLT0149</t>
  </si>
  <si>
    <t>HLT0150</t>
  </si>
  <si>
    <t>7ae3cd5c18a8</t>
  </si>
  <si>
    <t>HLT0151</t>
  </si>
  <si>
    <t>f01a8ef53795</t>
  </si>
  <si>
    <t>고혈압, 류마티즘, 뇌질환, 뇌전증</t>
  </si>
  <si>
    <t>수술력: 뇌동맥수술(경희의료원,6YA)</t>
  </si>
  <si>
    <t>HLT0152</t>
  </si>
  <si>
    <t>HLT0153</t>
  </si>
  <si>
    <t>f7157f6bee36</t>
  </si>
  <si>
    <t>HLT0154</t>
  </si>
  <si>
    <t>aea06ae3b5fc</t>
  </si>
  <si>
    <t>위암 수술력(21.03), 면역억제제 복용중(메시마f,22.07~), 족저근막염(22.07~,현재는 복용중단)</t>
  </si>
  <si>
    <t>HLT0155</t>
  </si>
  <si>
    <t>e0839a2cb11d</t>
  </si>
  <si>
    <t>근육 및 관절약 (l/c 정형외과, 10T/day)</t>
  </si>
  <si>
    <t>HLT0156</t>
  </si>
  <si>
    <t>4113be729694</t>
  </si>
  <si>
    <t>지르텍(1T/DAY)</t>
  </si>
  <si>
    <t>HLT0157</t>
  </si>
  <si>
    <t>a1155d50f697</t>
  </si>
  <si>
    <t>신경안정제, 고지혈증약</t>
  </si>
  <si>
    <t>HLT0158</t>
  </si>
  <si>
    <t>fffc4f3275f6</t>
  </si>
  <si>
    <t>유방암약,호르몬차단제,ADHD약,조울증약,</t>
  </si>
  <si>
    <t>HLT0159</t>
  </si>
  <si>
    <t>HLT0160</t>
  </si>
  <si>
    <t>c3bc6e1d2237</t>
  </si>
  <si>
    <t>HLT0161</t>
  </si>
  <si>
    <t>a55f64a16523</t>
  </si>
  <si>
    <t>전립선 비대증 약(2T/day,3YA), 수면제(1T/day,3YA), 어깨 수술(뼈 증식,1YA)</t>
  </si>
  <si>
    <t>HLT0162</t>
  </si>
  <si>
    <t>6bd547ea828f</t>
  </si>
  <si>
    <t>고혈압, 심장질환, 비뇨기질환</t>
  </si>
  <si>
    <t>혈압약, 심혈관 질환 약, 비뇨기과 약 (1T/day)</t>
  </si>
  <si>
    <t>HLT0163</t>
  </si>
  <si>
    <t>HLT0164</t>
  </si>
  <si>
    <t>HLT0165</t>
  </si>
  <si>
    <t>HLT0166</t>
  </si>
  <si>
    <t>HLT0167</t>
  </si>
  <si>
    <t>HLT0168</t>
  </si>
  <si>
    <t>ec8d6777c465</t>
  </si>
  <si>
    <t>당뇨(1T/day), 콜레스테롤(1T/day), 부정맥(4T/day)</t>
  </si>
  <si>
    <t>자궁 적출술</t>
  </si>
  <si>
    <t>HLT0169</t>
  </si>
  <si>
    <t>b7c5bec1e7bd</t>
  </si>
  <si>
    <t>당뇨병약(3T/day)</t>
  </si>
  <si>
    <t>HLT0170</t>
  </si>
  <si>
    <t>a491ed5124f9</t>
  </si>
  <si>
    <t>ENT med(항생제, 소염제)</t>
  </si>
  <si>
    <t>HLT0171</t>
  </si>
  <si>
    <t>34e7b984bffb</t>
  </si>
  <si>
    <t>갑상선</t>
  </si>
  <si>
    <t>갑상선암치료(5년전, 연세대 세브란스병원), 어깨수술(4-5년전, 경희의료원)</t>
  </si>
  <si>
    <t>HLT0172</t>
  </si>
  <si>
    <t>e90460df2b58</t>
  </si>
  <si>
    <t>척추협착증 수술(3MA, 강북우리들병원)</t>
  </si>
  <si>
    <t>HLT0173</t>
  </si>
  <si>
    <t>5eb1483642f8</t>
  </si>
  <si>
    <t>후종인대골화증 수술</t>
  </si>
  <si>
    <t>HLT0174</t>
  </si>
  <si>
    <t>HLT0175</t>
  </si>
  <si>
    <t>HLT0176</t>
  </si>
  <si>
    <t>529ec1e37f6f</t>
  </si>
  <si>
    <t>HLT0177</t>
  </si>
  <si>
    <t>61bd39d82f6d</t>
  </si>
  <si>
    <t>인슐린주사(매일,10YA), 골다공증 주사(3MA, 3개월주기), 심장스텐트수술(10YA,하계을지병원), 어깨수술(2YA, 하계을지병원)</t>
  </si>
  <si>
    <t>HLT0178</t>
  </si>
  <si>
    <t>dfb013074a21</t>
  </si>
  <si>
    <t>고지혈증, 신경정신과(같이 복용,5T/D, 3YA, 삼성병원)</t>
  </si>
  <si>
    <t>HLT0179</t>
  </si>
  <si>
    <t>5e4573d73d7d</t>
  </si>
  <si>
    <t>HLT0180</t>
  </si>
  <si>
    <t>2979bfac602c</t>
  </si>
  <si>
    <t>HLT0181</t>
  </si>
  <si>
    <t>518cdb7188d1</t>
  </si>
  <si>
    <t>고혈압, 알레르기(약물 등) ※ 조영제 알레르기</t>
  </si>
  <si>
    <t>고혈압(카듀엣정 0.5T/Day)</t>
  </si>
  <si>
    <t>HLT0182</t>
  </si>
  <si>
    <t>f494dd80e220</t>
  </si>
  <si>
    <t>축농증</t>
  </si>
  <si>
    <t>HLT0183</t>
  </si>
  <si>
    <t>f613bc74a0ea</t>
  </si>
  <si>
    <t>고혈압(1T/day)</t>
  </si>
  <si>
    <t>HLT0184</t>
  </si>
  <si>
    <t>HLT0185</t>
  </si>
  <si>
    <t>d034682a733d</t>
  </si>
  <si>
    <t>고혈압, 뇌경색hx(2018년)</t>
  </si>
  <si>
    <t>파킨슨약(3T/day,5-6년,아산병원),신경외과약(2T/day,5-6년,아산병원)</t>
  </si>
  <si>
    <t>HLT0186</t>
  </si>
  <si>
    <t>30c77eb43197</t>
  </si>
  <si>
    <t>HLT0187</t>
  </si>
  <si>
    <t>504f98b14f85</t>
  </si>
  <si>
    <t>당뇨, 신장질환(투석)</t>
  </si>
  <si>
    <t>당뇨약(1T/day,경희임내과), 투석중(일주일에 3일, 어제 마지막, 경희임내과)</t>
  </si>
  <si>
    <t>HLT0188</t>
  </si>
  <si>
    <t>139a7579cbf2</t>
  </si>
  <si>
    <t>cx</t>
  </si>
  <si>
    <t>당뇨약, 신경과약 복용중</t>
  </si>
  <si>
    <t>혹제거(2Y ago,한양대학교 병원)</t>
  </si>
  <si>
    <t>HLT0189</t>
  </si>
  <si>
    <t>1c3e224d4c9d</t>
  </si>
  <si>
    <t>고혈압(1T/day), 고지혈증(1T/day), 관절염(3T/day)</t>
  </si>
  <si>
    <t>HLT0190</t>
  </si>
  <si>
    <t>고혈압약(1T/day, L/C), 고지혈증약(1T/day, L/C), 관절염약(3T/day, L/C), 피부과약(3T/day, L/C, 4MA), 정신과약(수면제, 신경안정제, 분노조절약 - 한양대병원, 4T/day, 2MA)</t>
  </si>
  <si>
    <t>HLT0191</t>
  </si>
  <si>
    <t>HLT0192</t>
  </si>
  <si>
    <t>HLT0193</t>
  </si>
  <si>
    <t>HLT0194</t>
  </si>
  <si>
    <t>HLT0195</t>
  </si>
  <si>
    <t>HLT0196</t>
  </si>
  <si>
    <t>HLT0197</t>
  </si>
  <si>
    <t>a25c17730917</t>
  </si>
  <si>
    <t>페니실린 알러지, 퇴행성 관절염(무릎관절약 복용중)</t>
  </si>
  <si>
    <t>HLT0198</t>
  </si>
  <si>
    <t>8be0bd9bca7b</t>
  </si>
  <si>
    <t>IE med, IR med</t>
  </si>
  <si>
    <t>낙상으로 인한 안면골절 재건수술</t>
  </si>
  <si>
    <t>HLT0199</t>
  </si>
  <si>
    <t>3958f1f1b7d6</t>
  </si>
  <si>
    <t>고혈압, 당뇨, 갑상선 질환, 결핵</t>
  </si>
  <si>
    <t>고혈압약, 당뇨약, 갑상선약</t>
  </si>
  <si>
    <t>HLT0200</t>
  </si>
  <si>
    <t>7aa7b569cbf0</t>
  </si>
  <si>
    <t>HLT0201</t>
  </si>
  <si>
    <t>0e89322fc0a0</t>
  </si>
  <si>
    <t>크레스토(1YA),   신지로이드(11YA)</t>
  </si>
  <si>
    <t>HLT0202</t>
  </si>
  <si>
    <t>a6bc8df95337</t>
  </si>
  <si>
    <t>관절염약 복용중</t>
  </si>
  <si>
    <t>HLT0203</t>
  </si>
  <si>
    <t>f92e8f1b252f</t>
  </si>
  <si>
    <t>HLT0204</t>
  </si>
  <si>
    <t>22a078fbcaa2</t>
  </si>
  <si>
    <t>고혈압(1T/day), 갑상선질환(1T/day)</t>
  </si>
  <si>
    <t>디스크 약물치료 (2019.12-2021.3)</t>
  </si>
  <si>
    <t>HLT0205</t>
  </si>
  <si>
    <t>36a63dd2637b</t>
  </si>
  <si>
    <t>우루사 복용중</t>
  </si>
  <si>
    <t>HLT0206</t>
  </si>
  <si>
    <t>7404cc59c2ec</t>
  </si>
  <si>
    <t>고혈압, 골다공증, 뇌동맥류</t>
  </si>
  <si>
    <t>고혈압약(1T/day), 골다공증 치료제</t>
  </si>
  <si>
    <t>HLT0207</t>
  </si>
  <si>
    <t>뇌동맥류</t>
  </si>
  <si>
    <t>HLT0208</t>
  </si>
  <si>
    <t>HLT0209</t>
  </si>
  <si>
    <t>HLT0210</t>
  </si>
  <si>
    <t>HLT0211</t>
  </si>
  <si>
    <t>HLT0212</t>
  </si>
  <si>
    <t>HLT0213</t>
  </si>
  <si>
    <t>HLT0214</t>
  </si>
  <si>
    <t>4b11b51df988</t>
  </si>
  <si>
    <t>고혈압약 (1T/day)</t>
  </si>
  <si>
    <t>탈장수술 (10YA)</t>
  </si>
  <si>
    <t>HLT0215</t>
  </si>
  <si>
    <t>28e58921593f</t>
  </si>
  <si>
    <t>HLT0216</t>
  </si>
  <si>
    <t>HLT0217</t>
  </si>
  <si>
    <t>HLT0218</t>
  </si>
  <si>
    <t>HLT0219</t>
  </si>
  <si>
    <t>5f19532b9c16</t>
  </si>
  <si>
    <t>HLT0220</t>
  </si>
  <si>
    <t>HLT0221</t>
  </si>
  <si>
    <t>37e66dec51b2</t>
  </si>
  <si>
    <t>고혈압약(1T/day)</t>
  </si>
  <si>
    <t>HLT0222</t>
  </si>
  <si>
    <t>0ff5b1e821f4</t>
  </si>
  <si>
    <t>침 나오는 약 (종류 불명, L/C)</t>
  </si>
  <si>
    <t>HLT0223</t>
  </si>
  <si>
    <t>c65ee5d54274</t>
  </si>
  <si>
    <t>골다공증약(2YA, 주사치료 1YA)</t>
  </si>
  <si>
    <t>HLT0224</t>
  </si>
  <si>
    <t>10b9303c5170</t>
  </si>
  <si>
    <t>고혈압, 당뇨, 고지혈증</t>
  </si>
  <si>
    <t>HLT0225</t>
  </si>
  <si>
    <t>1bdf0a78f5fc</t>
  </si>
  <si>
    <t>고혈압약(1T/day, 20Y, L/C), 당뇨병약(1T/day, 5Y, L/C)</t>
  </si>
  <si>
    <t>협심증(2T/day, 6Y, 안암 고려대병원)</t>
  </si>
  <si>
    <t>HLT0226</t>
  </si>
  <si>
    <t>361dcc69dcf4</t>
  </si>
  <si>
    <t>당뇨, 고지혈증(두개 같이 6T/D, 6MA, L/C), 신경과약(6-7T/D, L/C), 방광약</t>
  </si>
  <si>
    <t>HLT0227</t>
  </si>
  <si>
    <t>58e329e6b623</t>
  </si>
  <si>
    <t>소염제(L/C)</t>
  </si>
  <si>
    <t>HLT0228</t>
  </si>
  <si>
    <t>허리협착증약(5t/day, 30YA, 한양대병원), 간질환(2T/day, 3MA, 한양대병원), 고지혈증(1t/day, 20YA,L/C), 고혈압약(1T/day, 40YA, L/C), 골다공증약(1T/day, 10YA)</t>
  </si>
  <si>
    <t>HLT0229</t>
  </si>
  <si>
    <t>HLT0230</t>
  </si>
  <si>
    <t>HLT0231</t>
  </si>
  <si>
    <t>4d02631bb195</t>
  </si>
  <si>
    <t>당뇨약</t>
  </si>
  <si>
    <t>HLT0232</t>
  </si>
  <si>
    <t>당뇨, 고지혈증</t>
  </si>
  <si>
    <t>HLT0233</t>
  </si>
  <si>
    <t>HLT0234</t>
  </si>
  <si>
    <t>HLT0235</t>
  </si>
  <si>
    <t>HLT0236</t>
  </si>
  <si>
    <t>HLT0237</t>
  </si>
  <si>
    <t>HLT0238</t>
  </si>
  <si>
    <t>HLT0239</t>
  </si>
  <si>
    <t>ed938ed98d56</t>
  </si>
  <si>
    <t>진통제(1YA)</t>
  </si>
  <si>
    <t>HLT0240</t>
  </si>
  <si>
    <t>7ea57e2b6f97</t>
  </si>
  <si>
    <t>골다공증(1T/day, 2YA last inj.), 고혈압(1T/day, 10YA), 당뇨약(1T/day, 10YA), 콜레스테롤약(1T/day, 10YA)</t>
  </si>
  <si>
    <t>HLT0241</t>
  </si>
  <si>
    <t>dd210167897b</t>
  </si>
  <si>
    <t>이명(10YA)</t>
  </si>
  <si>
    <t>HLT0242</t>
  </si>
  <si>
    <t>f8c8c73fb597</t>
  </si>
  <si>
    <t>골다공증약(1T/day),혈액순환제(1T/day)</t>
  </si>
  <si>
    <t>HLT0243</t>
  </si>
  <si>
    <t>68f37b3bd4bc</t>
  </si>
  <si>
    <t>골다공증 경구약 1주일에 1회(정확한 약명 모르심)</t>
  </si>
  <si>
    <t>HLT0244</t>
  </si>
  <si>
    <t>42c1108cbf7e</t>
  </si>
  <si>
    <t>HLT0245</t>
  </si>
  <si>
    <t>c3ac1d291e64</t>
  </si>
  <si>
    <t>고혈압, 정신질환</t>
  </si>
  <si>
    <t>신경정신과약(수면장애, 불안증 약 4T/day, L/C)</t>
  </si>
  <si>
    <t>HLT0246</t>
  </si>
  <si>
    <t>8758886932f6</t>
  </si>
  <si>
    <t>혈소판응집억제제, 왼쪽 눈 홍반증 수술(2YA)</t>
  </si>
  <si>
    <t>HLT0247</t>
  </si>
  <si>
    <t>27259d5655d7</t>
  </si>
  <si>
    <t>HTN, 고지혈증, 손가락관절염, 에페리손 알러지</t>
  </si>
  <si>
    <t>고지혈증약, 정형외과약(손가락 관절염)</t>
  </si>
  <si>
    <t>HLT0248</t>
  </si>
  <si>
    <t>46b9986031a4</t>
  </si>
  <si>
    <t>갑상선 질환 ※ 1T/day, 13년 복용</t>
  </si>
  <si>
    <t>갑상선암 수술 (2008년, 신촌 세브란스 병원)</t>
  </si>
  <si>
    <t>HLT0249</t>
  </si>
  <si>
    <t>4de0a8be4f67</t>
  </si>
  <si>
    <t>이비인후과약 (항생제, nsaid, 부신피질호르몬제)</t>
  </si>
  <si>
    <t>HLT0250</t>
  </si>
  <si>
    <t>d34d2ef4d171</t>
  </si>
  <si>
    <t>HLT0251</t>
  </si>
  <si>
    <t>38341caff6c1</t>
  </si>
  <si>
    <t>혈압약(1T/day, 3YA, L/C), 전립선비대(6YA, L/C), 류마티스내과 약(3T/day, 4YA, 건국대학교병원)</t>
  </si>
  <si>
    <t>황반변성 수술(1YA)</t>
  </si>
  <si>
    <t>HLT0252</t>
  </si>
  <si>
    <t>b7e6eb4aa2de</t>
  </si>
  <si>
    <t>담낭제거 (5YA)</t>
  </si>
  <si>
    <t>HLT0253</t>
  </si>
  <si>
    <t>541f1198e8b0</t>
  </si>
  <si>
    <t>류마티즘</t>
  </si>
  <si>
    <t>제왕절개(20YA)</t>
  </si>
  <si>
    <t>HLT0254</t>
  </si>
  <si>
    <t>02df8e55e2aa</t>
  </si>
  <si>
    <t>쇼그렌 증후군(이대목동병원 류마티스내과, 살라겐정)</t>
  </si>
  <si>
    <t>HLT0255</t>
  </si>
  <si>
    <t>bbda3a18d0e4</t>
  </si>
  <si>
    <t>고혈압(1T/day), 고지혈증(1T/day),. 부루펜알러지</t>
  </si>
  <si>
    <t>HLT0256</t>
  </si>
  <si>
    <t>bc581483cadd</t>
  </si>
  <si>
    <t>HLT0257</t>
  </si>
  <si>
    <t>HLT0258</t>
  </si>
  <si>
    <t>HLT0259</t>
  </si>
  <si>
    <t>98afb6fc46f2</t>
  </si>
  <si>
    <t>고지혈증약(L/C 내과, 3년)</t>
  </si>
  <si>
    <t>HLT0260</t>
  </si>
  <si>
    <t>eea4635fdb37</t>
  </si>
  <si>
    <t>HLT0261</t>
  </si>
  <si>
    <t>ea5a35b597c5</t>
  </si>
  <si>
    <t>HLT0262</t>
  </si>
  <si>
    <t>HLT0263</t>
  </si>
  <si>
    <t>d99eeb2ee98d</t>
  </si>
  <si>
    <t>고지혈증약(1T/d)</t>
  </si>
  <si>
    <t>HLT0264</t>
  </si>
  <si>
    <t>00a84fc642d6</t>
  </si>
  <si>
    <t>알러지(allergic to itraconazole), 주블리아(발톱, 1/day)</t>
  </si>
  <si>
    <t>HLT0265</t>
  </si>
  <si>
    <t>03c747ffb650</t>
  </si>
  <si>
    <t>HLT0266</t>
  </si>
  <si>
    <t>da31badae11c</t>
  </si>
  <si>
    <t>HLT0267</t>
  </si>
  <si>
    <t>d923ffd100b8</t>
  </si>
  <si>
    <t>고혈압, 자궁외임신 수술</t>
  </si>
  <si>
    <t>골다공증약(1T/D), 혈압약(크로나스) 0.5T/D</t>
  </si>
  <si>
    <t>HLT0268</t>
  </si>
  <si>
    <t>23.09.25 쓸개 제거 수술(본원)</t>
  </si>
  <si>
    <t>저혈압, 뇌경색약, 허리약</t>
  </si>
  <si>
    <t>HLT0269</t>
  </si>
  <si>
    <t>HLT0270</t>
  </si>
  <si>
    <t>HLT0271</t>
  </si>
  <si>
    <t>16e155f23569</t>
  </si>
  <si>
    <t>근경색약(5T/day)</t>
  </si>
  <si>
    <t>맹장수술(15Y ago, 위생병원)</t>
  </si>
  <si>
    <t>HLT0272</t>
  </si>
  <si>
    <t>6bc016640397</t>
  </si>
  <si>
    <t>간질환, 유방암수술</t>
  </si>
  <si>
    <t>간수치 조절약(1t/day)</t>
  </si>
  <si>
    <t>HLT0273</t>
  </si>
  <si>
    <t>2c7d6e404948</t>
  </si>
  <si>
    <t>HLT0274</t>
  </si>
  <si>
    <t>호르몬제(1YA, 상계백병원, 갱년기)</t>
  </si>
  <si>
    <t>HLT0275</t>
  </si>
  <si>
    <t>44ff697c6c21</t>
  </si>
  <si>
    <t>고혈압 고지혈증</t>
  </si>
  <si>
    <t>양쪽 어깨수술(5년전,명일동 병원)</t>
  </si>
  <si>
    <t>HLT0276</t>
  </si>
  <si>
    <t>dfeeb46f2e86</t>
  </si>
  <si>
    <t>HLT0277</t>
  </si>
  <si>
    <t>fe7a245617a4</t>
  </si>
  <si>
    <t>골다공증치료제</t>
  </si>
  <si>
    <t>HLT0278</t>
  </si>
  <si>
    <t>d080d526f2b2</t>
  </si>
  <si>
    <t>알레르기</t>
  </si>
  <si>
    <t>HLT0279</t>
  </si>
  <si>
    <t>1535ecf95ace</t>
  </si>
  <si>
    <t>부정맥</t>
  </si>
  <si>
    <t>백내장수술(1YA), 심장기계판막삽입수술(2018.08), 와파린 복용중</t>
  </si>
  <si>
    <t>HLT0280</t>
  </si>
  <si>
    <t>b5a7e5966d03</t>
  </si>
  <si>
    <t>HLT0281</t>
  </si>
  <si>
    <t>HLT0282</t>
  </si>
  <si>
    <t>HLT0283</t>
  </si>
  <si>
    <t>HLT0284</t>
  </si>
  <si>
    <t>HLT0285</t>
  </si>
  <si>
    <t>d73db9779ffa</t>
  </si>
  <si>
    <t>콜레스테롤(1T/day)</t>
  </si>
  <si>
    <t>HLT0286</t>
  </si>
  <si>
    <t>살리겐정, 넥실렌정, 마이폴캡슐, 리보트릴정, 네버펜틴캡슐, 마이폴캡술, 노브세틴캡슐,파티겔현탁액</t>
  </si>
  <si>
    <t>HLT0287</t>
  </si>
  <si>
    <t>HLT0288</t>
  </si>
  <si>
    <t>HLT0289</t>
  </si>
  <si>
    <t>bc0ba64c0d02</t>
  </si>
  <si>
    <t>HLT0290</t>
  </si>
  <si>
    <t>e626bb7e45a4</t>
  </si>
  <si>
    <t>HLT0291</t>
  </si>
  <si>
    <t>1dd6cc43d9f1</t>
  </si>
  <si>
    <t>HLT0292</t>
  </si>
  <si>
    <t>74eccde0bfa2</t>
  </si>
  <si>
    <t>고혈압, 천식, 비뇨기</t>
  </si>
  <si>
    <t>HLT0293</t>
  </si>
  <si>
    <t>20efe3e88c05</t>
  </si>
  <si>
    <t>고혈압, 기타 ※ 무릎/허리관절염</t>
  </si>
  <si>
    <t>HLT0294</t>
  </si>
  <si>
    <t>HLT0295</t>
  </si>
  <si>
    <t>e10d72b8cdf3</t>
  </si>
  <si>
    <t>고혈압, 갑상선</t>
  </si>
  <si>
    <t>HLT0296</t>
  </si>
  <si>
    <t>21642cb49ff4</t>
  </si>
  <si>
    <t>고혈압,갑상선질환</t>
  </si>
  <si>
    <t>고혈압약,혈소판응집억제제</t>
  </si>
  <si>
    <t>HLT0297</t>
  </si>
  <si>
    <t>4b5ce49a4c5e</t>
  </si>
  <si>
    <t>HLT0298</t>
  </si>
  <si>
    <t>4be484886727</t>
  </si>
  <si>
    <t>약물 알레르기</t>
  </si>
  <si>
    <t>혈액순환약</t>
  </si>
  <si>
    <t>HLT0299</t>
  </si>
  <si>
    <t>b8e4ff54c1c4</t>
  </si>
  <si>
    <t>혈압약</t>
  </si>
  <si>
    <t>HLT0300</t>
  </si>
  <si>
    <t>2feb8c90739f</t>
  </si>
  <si>
    <t>HLT0301</t>
  </si>
  <si>
    <t>e4cb9c28f827</t>
  </si>
  <si>
    <t>결핵,알레르기</t>
  </si>
  <si>
    <t>난소물혹제거수술</t>
  </si>
  <si>
    <t>HLT0302</t>
  </si>
  <si>
    <t>865b726cae56</t>
  </si>
  <si>
    <t>HLT0303</t>
  </si>
  <si>
    <t>02b806e216b7</t>
  </si>
  <si>
    <t>HLT0304</t>
  </si>
  <si>
    <t>13181341c2d0</t>
  </si>
  <si>
    <t>척추수술,유방암수술</t>
  </si>
  <si>
    <t>HLT0305</t>
  </si>
  <si>
    <t>73f3eed79e85</t>
  </si>
  <si>
    <t>골다공증약</t>
  </si>
  <si>
    <t>HLT0306</t>
  </si>
  <si>
    <t>e3daf5800fe4</t>
  </si>
  <si>
    <t>고지혈증 약</t>
  </si>
  <si>
    <t>HLT0307</t>
  </si>
  <si>
    <t>fd0bc8100ade</t>
  </si>
  <si>
    <t>파킨슨병약</t>
  </si>
  <si>
    <t>HLT0308</t>
  </si>
  <si>
    <t>d78528d507d9</t>
  </si>
  <si>
    <t>HLT0309</t>
  </si>
  <si>
    <t>5b9a4c130652</t>
  </si>
  <si>
    <t>고지혈증 약 (1T/day), 관절 이완제 (3T/day)</t>
  </si>
  <si>
    <t>HLT0310</t>
  </si>
  <si>
    <t>7497a78abc40</t>
  </si>
  <si>
    <t>HLT0311</t>
  </si>
  <si>
    <t>0481493b841b</t>
  </si>
  <si>
    <t>천식</t>
  </si>
  <si>
    <t>우울증약(1T/day)</t>
  </si>
  <si>
    <t>HLT0312</t>
  </si>
  <si>
    <t>천식약, 우울증약</t>
  </si>
  <si>
    <t>HLT0313</t>
  </si>
  <si>
    <t>HLT0314</t>
  </si>
  <si>
    <t>HLT0315</t>
  </si>
  <si>
    <t>debe29c25e9b</t>
  </si>
  <si>
    <t>골다공증 경구약(동네 내과,1T/day)</t>
  </si>
  <si>
    <t>HLT0316</t>
  </si>
  <si>
    <t>14f462e42b08</t>
  </si>
  <si>
    <t>심근경색, 관절, 고지혈증</t>
  </si>
  <si>
    <t>HLT0317</t>
  </si>
  <si>
    <t>debfb0374035</t>
  </si>
  <si>
    <t>위염약(2T/Day)</t>
  </si>
  <si>
    <t>HLT0318</t>
  </si>
  <si>
    <t>b73d3dec19fe</t>
  </si>
  <si>
    <t>당뇨,심장질환,알레르기,갑상선질환 잇몸절단수술,심장 stent수술, 당뇨병성 어깨질환 수술,무릎수술(6번),허리 척추수술(경추 디스크판이 녹음), 당뇨병성 백내장 수술 뇌혈관협착증, 신경병증</t>
  </si>
  <si>
    <t>당뇨약,심장약,갑상선약,고지혈증약,신경병증약,당뇨병 관련 인슐린약</t>
  </si>
  <si>
    <t>HLT0319</t>
  </si>
  <si>
    <t>ea3f0b245ff8</t>
  </si>
  <si>
    <t>3차 신경통 수술 받으심</t>
  </si>
  <si>
    <t>스틸녹스, 모티리톤, 기넥신 에프 처방받아 드심</t>
  </si>
  <si>
    <t>HLT0320</t>
  </si>
  <si>
    <t>7cf99066567b</t>
  </si>
  <si>
    <t>고지혈증 약(2T/Day)</t>
  </si>
  <si>
    <t>HLT0321</t>
  </si>
  <si>
    <t>b25936689821</t>
  </si>
  <si>
    <t>지럼증약(3T/day, 4일복용)</t>
  </si>
  <si>
    <t>세팔로스포린계 항생제 먹고 속이 메스껍고 구토한 전력 있음</t>
  </si>
  <si>
    <t>HLT0322</t>
  </si>
  <si>
    <t>8cc4b2018891</t>
  </si>
  <si>
    <t>고혈압약, 자궁적출술(8YA, 동네상급병원)</t>
  </si>
  <si>
    <t>HLT0323</t>
  </si>
  <si>
    <t>d7f2f9045b26</t>
  </si>
  <si>
    <t>갑상샘 암수술(10년전,서울아산병원),자궁적출술(20년전,서울아산병</t>
  </si>
  <si>
    <t>갑상샘약(1T/day,10년),고지혈증,고혈압(1T/day,1년)</t>
  </si>
  <si>
    <t>HLT0324</t>
  </si>
  <si>
    <t>612509586e1a</t>
  </si>
  <si>
    <t>항우울제(수면제),고혈압약,고지혈증약</t>
  </si>
  <si>
    <t>HLT0325</t>
  </si>
  <si>
    <t>5beb270f28a6</t>
  </si>
  <si>
    <t>고혈압약(1T/d)</t>
  </si>
  <si>
    <t>HLT0326</t>
  </si>
  <si>
    <t>91d252546fd2</t>
  </si>
  <si>
    <t>고혈압약(1T/d), 당뇨병약(1T/d), 골다공증약(1T/w)</t>
  </si>
  <si>
    <t>HLT0327</t>
  </si>
  <si>
    <t>a00059e5cab9</t>
  </si>
  <si>
    <t>탈모약(2년째)</t>
  </si>
  <si>
    <t>HLT0328</t>
  </si>
  <si>
    <t>1aaef549c855</t>
  </si>
  <si>
    <t>HLT0329</t>
  </si>
  <si>
    <t>9be810d7fc62</t>
  </si>
  <si>
    <t>타이레놀 쇼크</t>
  </si>
  <si>
    <t>수면제 0.5T/DAY. 화이자 접종(21.05.29) 후 부루펜 1일, 소염제 3일</t>
  </si>
  <si>
    <t>HLT0330</t>
  </si>
  <si>
    <t>d6bb969d16af</t>
  </si>
  <si>
    <t>카듀엣(1T/day, onset : 10yA)</t>
  </si>
  <si>
    <t>HLT0331</t>
  </si>
  <si>
    <t>f244490fff41</t>
  </si>
  <si>
    <t>뇌종양 수술(10년 전,세브란스 병원)</t>
  </si>
  <si>
    <t>신경과약 케프라(2T/day)</t>
  </si>
  <si>
    <t>HLT0332</t>
  </si>
  <si>
    <t>8b7c2ca0bb80</t>
  </si>
  <si>
    <t>HLT0333</t>
  </si>
  <si>
    <t>HLT0334</t>
  </si>
  <si>
    <t>30311f30a34e</t>
  </si>
  <si>
    <t>손목터널증후군(2YA, 경희의료원), 무릎관절천공술(13YA, 수원이춘택병원)</t>
  </si>
  <si>
    <t>HLT0335</t>
  </si>
  <si>
    <t>08ea6670d442</t>
  </si>
  <si>
    <t>HLT0336</t>
  </si>
  <si>
    <t>HLT0337</t>
  </si>
  <si>
    <t>HLT0338</t>
  </si>
  <si>
    <t>HLT0339</t>
  </si>
  <si>
    <t>f27cb4dda55c</t>
  </si>
  <si>
    <t>알레르기(약물 등) ※ 알레르기약 가려우실때마다 1T, 허리 협착증, 디스크 수술 (1년전)</t>
  </si>
  <si>
    <t>HLT0340</t>
  </si>
  <si>
    <t>fd11edbddc0f</t>
  </si>
  <si>
    <t>HLT0341</t>
  </si>
  <si>
    <t>4e2ce84dcd11</t>
  </si>
  <si>
    <t>HLT0342</t>
  </si>
  <si>
    <t>c4ac5a4f53e8</t>
  </si>
  <si>
    <t>목 디스크 약 (4T/day)</t>
  </si>
  <si>
    <t>HLT0343</t>
  </si>
  <si>
    <t>39c21cb96ce4</t>
  </si>
  <si>
    <t>HLT0344</t>
  </si>
  <si>
    <t>d854363782ae</t>
  </si>
  <si>
    <t>HLT0345</t>
  </si>
  <si>
    <t>77b0e5cd7143</t>
  </si>
  <si>
    <t>신경과 약</t>
  </si>
  <si>
    <t>에프람정(1T/D), 인데놀정(1T/D), 미드론정(1T/D)</t>
  </si>
  <si>
    <t>HLT0346</t>
  </si>
  <si>
    <t>e5ef4942537f</t>
  </si>
  <si>
    <t>HLT0347</t>
  </si>
  <si>
    <t>15e0f67fc63f</t>
  </si>
  <si>
    <t>HLT0348</t>
  </si>
  <si>
    <t>7187df3f4081</t>
  </si>
  <si>
    <t>HLT0349</t>
  </si>
  <si>
    <t>1d9fb87e00be</t>
  </si>
  <si>
    <t>다리골절 수술 2년전</t>
  </si>
  <si>
    <t>HLT0350</t>
  </si>
  <si>
    <t>6161afdb4203</t>
  </si>
  <si>
    <t>심장 스텐트(2018), 간경변</t>
  </si>
  <si>
    <t>HLT0351</t>
  </si>
  <si>
    <t>e2dd64995c7c</t>
  </si>
  <si>
    <t>HLT0352</t>
  </si>
  <si>
    <t>2dab76084b56</t>
  </si>
  <si>
    <t>골다공증치료제(2~3년 복용, 1T/M, 서울대병원)</t>
  </si>
  <si>
    <t>HLT0353</t>
  </si>
  <si>
    <t>7901597b066c</t>
  </si>
  <si>
    <t>HLT0354</t>
  </si>
  <si>
    <t>e91b7e3f8e96</t>
  </si>
  <si>
    <t>유방암수술(2004, 순천향대병원)</t>
  </si>
  <si>
    <t>항호르몬제 복용(2004~2012, 순천향대병원), 갑상선호르몬제(신지록신, 1t/day), 고지혈증약(1t/day), 신경안정제(아티반1t, 쿠에타핀12,5g, 알프람정 0.25g), 골다공증(골다공증주사 1T/3mon), 고지혈증, 간수치 높음(우루사 복용)</t>
  </si>
  <si>
    <t>HLT0355</t>
  </si>
  <si>
    <t>f3a4a3f81234</t>
  </si>
  <si>
    <t>고혈압, 고지혈증 약 1T/day (15~20년), 당뇨병 약 2T/day (15~20년), 간장약 2T/day (3MA), 신장수술 (41YA), 성대수술 (37YA), 연골수술 (48YA), 다리종양수술(25YA)</t>
  </si>
  <si>
    <t>HLT0356</t>
  </si>
  <si>
    <t>ef9d51a5fabb</t>
  </si>
  <si>
    <t>대장수술(초등학교 6학년)</t>
  </si>
  <si>
    <t>콜레스테롤약(7년, 강북삼성병원)</t>
  </si>
  <si>
    <t>HLT0357</t>
  </si>
  <si>
    <t>821a089f6cdf</t>
  </si>
  <si>
    <t>HLT0358</t>
  </si>
  <si>
    <t>67ed97722492</t>
  </si>
  <si>
    <t>정형외과약</t>
  </si>
  <si>
    <t>HLT0359</t>
  </si>
  <si>
    <t>f14004f2c949</t>
  </si>
  <si>
    <t>HLT0360</t>
  </si>
  <si>
    <t>be4c1a9e6d76</t>
  </si>
  <si>
    <t>당뇨약, 신경안정제</t>
  </si>
  <si>
    <t>HLT0361</t>
  </si>
  <si>
    <t>7d21c6579a50</t>
  </si>
  <si>
    <t>관상동맥 우회술(고대안암병원, 21년5월)</t>
  </si>
  <si>
    <t>HLT0362</t>
  </si>
  <si>
    <t>611a135294eb</t>
  </si>
  <si>
    <t>심장질환, 협심증(2T/day)</t>
  </si>
  <si>
    <t>HLT0363</t>
  </si>
  <si>
    <t>2a89fa3a5e50</t>
  </si>
  <si>
    <t>뇌수술(10년전)</t>
  </si>
  <si>
    <t>HLT0364</t>
  </si>
  <si>
    <t>782f83206dfb</t>
  </si>
  <si>
    <t>HLT0365</t>
  </si>
  <si>
    <t>40209b3c800e</t>
  </si>
  <si>
    <t>HLT0366</t>
  </si>
  <si>
    <t>HLT0367</t>
  </si>
  <si>
    <t>f0bd2ea69f81</t>
  </si>
  <si>
    <t>HLT0368</t>
  </si>
  <si>
    <t>c47cd72b492a</t>
  </si>
  <si>
    <t>고혈압,결핵,심장질환</t>
  </si>
  <si>
    <t>리록스반정, 삐콤정, 토르셈정, 씬지로이드정, 하트반정, 아모디핀정, 베타원정(10Y)</t>
  </si>
  <si>
    <t>HLT0369</t>
  </si>
  <si>
    <t>ff7d1f9d79d2</t>
  </si>
  <si>
    <t>불면증약</t>
  </si>
  <si>
    <t>HLT0370</t>
  </si>
  <si>
    <t>c51c510c6d27</t>
  </si>
  <si>
    <t>고혈압약(1T/day, 3Y, 을지병원), 콜레스테롤약(1T/day, 3Y, 을지병원)</t>
  </si>
  <si>
    <t>HLT0371</t>
  </si>
  <si>
    <t>HLT0372</t>
  </si>
  <si>
    <t>HLT0373</t>
  </si>
  <si>
    <t>8db89449e6c9</t>
  </si>
  <si>
    <t>HLT0374</t>
  </si>
  <si>
    <t>de20efff251e</t>
  </si>
  <si>
    <t>HLT0375</t>
  </si>
  <si>
    <t>981108c4bb3c</t>
  </si>
  <si>
    <t>루푸스 약(본원 경희의료원)</t>
  </si>
  <si>
    <t>HLT0376</t>
  </si>
  <si>
    <t>26c2df105d1f</t>
  </si>
  <si>
    <t>고혈압,정신질환,유방암 수술(20YA),골다공증치료제</t>
  </si>
  <si>
    <t>HLT0377</t>
  </si>
  <si>
    <t>5742e6c41206</t>
  </si>
  <si>
    <t>항우울제&amp;진정제 (익셀, 센시발, 발륨, 졸민 - 본원), 이뇨제, 고지혈증약 (본원)</t>
  </si>
  <si>
    <t>HLT0378</t>
  </si>
  <si>
    <t>080dc552b2a9</t>
  </si>
  <si>
    <t>고혈압, 천식</t>
  </si>
  <si>
    <t>HLT0379</t>
  </si>
  <si>
    <t>HLT0380</t>
  </si>
  <si>
    <t>HLT0381</t>
  </si>
  <si>
    <t>HLT0382</t>
  </si>
  <si>
    <t>d5697a888531</t>
  </si>
  <si>
    <t>알레르기(약물 등) ※ 강아지 관련</t>
  </si>
  <si>
    <t>알러지약(4-5T/day, 5YA, L/C), 천식약(벤토린, 5YA, L/C)</t>
  </si>
  <si>
    <t>HLT0383</t>
  </si>
  <si>
    <t>1a15ff778f4b</t>
  </si>
  <si>
    <t>금연약 (2t/day)</t>
  </si>
  <si>
    <t>HLT0384</t>
  </si>
  <si>
    <t>HLT0385</t>
  </si>
  <si>
    <t>HLT0386</t>
  </si>
  <si>
    <t>819bdf058e87</t>
  </si>
  <si>
    <t>HLT0387</t>
  </si>
  <si>
    <t>08fb08a62bc0</t>
  </si>
  <si>
    <t>고혈압, 당뇨, 갑상선 질환</t>
  </si>
  <si>
    <t>고혈압약,당뇨약,고지혈증약,갑상선약 (모두 1T/1d)</t>
  </si>
  <si>
    <t>HLT0388</t>
  </si>
  <si>
    <t>68fdcd817bd0</t>
  </si>
  <si>
    <t>골다공증치료제, 골다공증 주사(3개월마다)</t>
  </si>
  <si>
    <t>HLT0389</t>
  </si>
  <si>
    <t>2cc1c3a132b0</t>
  </si>
  <si>
    <t>저혈압, 고지혈증, 갑상선 질환</t>
  </si>
  <si>
    <t>갑상선저하증(싱가포르 국립대병원), 아연비타민</t>
  </si>
  <si>
    <t>HLT0390</t>
  </si>
  <si>
    <t>감상선질환</t>
  </si>
  <si>
    <t>저혈압, 고지혈증, 갑상선저하증 med (싱가포르 국립대병원), 아연비타민</t>
  </si>
  <si>
    <t>HLT0391</t>
  </si>
  <si>
    <t>HLT0392</t>
  </si>
  <si>
    <t>HLT0393</t>
  </si>
  <si>
    <t>HLT0394</t>
  </si>
  <si>
    <t>HLT0395</t>
  </si>
  <si>
    <t>HLT0396</t>
  </si>
  <si>
    <t>HLT0397</t>
  </si>
  <si>
    <t>d93d67e535cc</t>
  </si>
  <si>
    <t>감기약(피부 간지러움), 갑상선기능저하증, 고관절수술</t>
  </si>
  <si>
    <t>HLT0398</t>
  </si>
  <si>
    <t>6c1fa9e816a7</t>
  </si>
  <si>
    <t>이석증, 방광염</t>
  </si>
  <si>
    <t>HLT0399</t>
  </si>
  <si>
    <t>f9555af61ae4</t>
  </si>
  <si>
    <t>혈압약(1T/Day)</t>
  </si>
  <si>
    <t>HLT0400</t>
  </si>
  <si>
    <t>917ecec4de9a</t>
  </si>
  <si>
    <t>HLT0401</t>
  </si>
  <si>
    <t>9178b7b00a1a</t>
  </si>
  <si>
    <t>HLT0402</t>
  </si>
  <si>
    <t>c3dce4d57995</t>
  </si>
  <si>
    <t>고혈압(0.5T/day),골다공증 치료제(1주전까지 복용),고지혈증약(1T/day)</t>
  </si>
  <si>
    <t>HLT0403</t>
  </si>
  <si>
    <t>284a43191661</t>
  </si>
  <si>
    <t>고혈압,당뇨,골다공증치료제</t>
  </si>
  <si>
    <t>골다공증 주사 3개월에 1회,녹내장, 알츠하이머성 인지장애</t>
  </si>
  <si>
    <t>HLT0404</t>
  </si>
  <si>
    <t>809a8100a506</t>
  </si>
  <si>
    <t>고지혈, 고혈압약, 위장약</t>
  </si>
  <si>
    <t>HLT0405</t>
  </si>
  <si>
    <t>8012a5702645</t>
  </si>
  <si>
    <t>정신질환, 골다공증</t>
  </si>
  <si>
    <t>골다공증 치료제(1T/day, 3MA, L/C), 정신과약(1T/day, 6MA, L/C)</t>
  </si>
  <si>
    <t>HLT0406</t>
  </si>
  <si>
    <t>e2a7469b62b1</t>
  </si>
  <si>
    <t>통풍(1T/day, 2주전부터 약 떨어져서 복용 안하고 있음)</t>
  </si>
  <si>
    <t>HLT0407</t>
  </si>
  <si>
    <t>06ec48a8bbad</t>
  </si>
  <si>
    <t>치핵3기 수술(22.09.14 / 삼육병원)</t>
  </si>
  <si>
    <t>HLT0408</t>
  </si>
  <si>
    <t>b97e4087d632</t>
  </si>
  <si>
    <t>good</t>
  </si>
  <si>
    <t>HLT0409</t>
  </si>
  <si>
    <t>c9aadf2d8a5f</t>
  </si>
  <si>
    <t>HLT0410</t>
  </si>
  <si>
    <t>d4ebf62ff4f7</t>
  </si>
  <si>
    <t>알레르기약(세프틸정)</t>
  </si>
  <si>
    <t>HLT0411</t>
  </si>
  <si>
    <t>89ad8bb1638f</t>
  </si>
  <si>
    <t>HLT0412</t>
  </si>
  <si>
    <t>1cb6323aeebf</t>
  </si>
  <si>
    <t>HLT0413</t>
  </si>
  <si>
    <t>2d98c0f3a472</t>
  </si>
  <si>
    <t>맹장수술(10y over,L/C)</t>
  </si>
  <si>
    <t>HLT0414</t>
  </si>
  <si>
    <t>22442690e822</t>
  </si>
  <si>
    <t>손 떠는 약(10YA, 1T/day), 갑상선 수술(40YA, 타병원), 자궁 수술(20YA, 타병원)</t>
  </si>
  <si>
    <t>HLT0415</t>
  </si>
  <si>
    <t>8d2482eb3157</t>
  </si>
  <si>
    <t>HLT0416</t>
  </si>
  <si>
    <t>f0d8216d456b</t>
  </si>
  <si>
    <t>HLT0417</t>
  </si>
  <si>
    <t>8f5858f747c5</t>
  </si>
  <si>
    <t>HLT0418</t>
  </si>
  <si>
    <t>ac377854fa1b</t>
  </si>
  <si>
    <t>고혈압, 신장질환</t>
  </si>
  <si>
    <t>혈소판응집억제제, 통풍약(2T/day)</t>
  </si>
  <si>
    <t>HLT0419</t>
  </si>
  <si>
    <t>72b667478432</t>
  </si>
  <si>
    <t>우울증약</t>
  </si>
  <si>
    <t>HLT0420</t>
  </si>
  <si>
    <t>HLT0421</t>
  </si>
  <si>
    <t>7db50bef50d8</t>
  </si>
  <si>
    <t>고지혈증(1T/day,2Y), 고혈압약(1T/day,2Y)</t>
  </si>
  <si>
    <t>HLT0422</t>
  </si>
  <si>
    <t>535296022522</t>
  </si>
  <si>
    <t>신경안정제(불면증약)</t>
  </si>
  <si>
    <t>HLT0423</t>
  </si>
  <si>
    <t>d63271830929</t>
  </si>
  <si>
    <t>고혈압, 간질환, 골다공증</t>
  </si>
  <si>
    <t>골다공증 주사 매일</t>
  </si>
  <si>
    <t>HLT0424</t>
  </si>
  <si>
    <t>0a8b1ef9e30a</t>
  </si>
  <si>
    <t>혈압강하제(아타칸플러스정,1T/D), 고지혈증약(리피논정, 1T/D)</t>
  </si>
  <si>
    <t>HLT0425</t>
  </si>
  <si>
    <t>51b6328e9e3f</t>
  </si>
  <si>
    <t>HLT0426</t>
  </si>
  <si>
    <t>HLT0427</t>
  </si>
  <si>
    <t>HLT0428</t>
  </si>
  <si>
    <t>HLT0429</t>
  </si>
  <si>
    <t>HLT0430</t>
  </si>
  <si>
    <t>HLT0431</t>
  </si>
  <si>
    <t>3158cba4a5de</t>
  </si>
  <si>
    <t>혈압약(4-5년째 복용 중, L/C), 고지혈증약(0.5Tab/day, 4-5년째 복용 중, L/C), 허리수술(서울대학교병원, 10년 전, 3년 전), 퇴행성 관절염(3년전), 무릎 아플 때 진통제, 소염제 / 만성위염약</t>
  </si>
  <si>
    <t>HLT0432</t>
  </si>
  <si>
    <t>df27641ad367</t>
  </si>
  <si>
    <t>원인미상의 기능성 소화불량, 전립선비대증</t>
  </si>
  <si>
    <t>HLT0433</t>
  </si>
  <si>
    <t>c1e38d300f1c</t>
  </si>
  <si>
    <t>무릎 관절염 2기(3YA, L/C), 허리 협착증(3YA, L/C), 혈압약 1T/day (10YA, L/C)</t>
  </si>
  <si>
    <t>HLT0434</t>
  </si>
  <si>
    <t>699b25dd04f6</t>
  </si>
  <si>
    <t>HLT0435</t>
  </si>
  <si>
    <t>35273c2fb533</t>
  </si>
  <si>
    <t>편도선 제거술(2달전), 역류성 식도염, 후두염, 혈압약(1T/d, 3년)</t>
  </si>
  <si>
    <t>HLT0436</t>
  </si>
  <si>
    <t>07a97ad7d909</t>
  </si>
  <si>
    <t>갑상선약(1T/day), 갑상선 수술(2011.08)</t>
  </si>
  <si>
    <t>HLT0437</t>
  </si>
  <si>
    <t>7c486acf6df4</t>
  </si>
  <si>
    <t>교통사고(7YA), 위염</t>
  </si>
  <si>
    <t>정형외과 진통제</t>
  </si>
  <si>
    <t>HLT0438</t>
  </si>
  <si>
    <t>0fca0e4ef843</t>
  </si>
  <si>
    <t>골다공증약(1T/day, 4Yrs)</t>
  </si>
  <si>
    <t>HLT0439</t>
  </si>
  <si>
    <t>b0300005c562</t>
  </si>
  <si>
    <t>HLT0440</t>
  </si>
  <si>
    <t>cfdeb4201841</t>
  </si>
  <si>
    <t>HLT0441</t>
  </si>
  <si>
    <t>ffef2a969067</t>
  </si>
  <si>
    <t>HLT0442</t>
  </si>
  <si>
    <t>골다공증치료제, 고지혈증약, 골다공증주사(6개월마다, last injection 2MA), 당뇨약, 고혈압약</t>
  </si>
  <si>
    <t>HLT0443</t>
  </si>
  <si>
    <t>HLT0444</t>
  </si>
  <si>
    <t>HLT0445</t>
  </si>
  <si>
    <t>HLT0446</t>
  </si>
  <si>
    <t>HLT0447</t>
  </si>
  <si>
    <t>HLT0448</t>
  </si>
  <si>
    <t>HLT0449</t>
  </si>
  <si>
    <t>783595b6fbf4</t>
  </si>
  <si>
    <t>HLT0450</t>
  </si>
  <si>
    <t>501e3c5f96cd</t>
  </si>
  <si>
    <t>갑상선결절 고주파시술(2YA/L/C)</t>
  </si>
  <si>
    <t>HLT0451</t>
  </si>
  <si>
    <t>12f02eb5297a</t>
  </si>
  <si>
    <t>HLT0452</t>
  </si>
  <si>
    <t>b8d470474a14</t>
  </si>
  <si>
    <t>고혈압, 류마티즘</t>
  </si>
  <si>
    <t>허리/팔 관절수술(1YA, L/C)</t>
  </si>
  <si>
    <t>HLT0453</t>
  </si>
  <si>
    <t>8aa5ac0aa591</t>
  </si>
  <si>
    <t>경구피임약</t>
  </si>
  <si>
    <t>HLT0454</t>
  </si>
  <si>
    <t>f56e390e7d0a</t>
  </si>
  <si>
    <t>HLT0455</t>
  </si>
  <si>
    <t>9816c4f664c6</t>
  </si>
  <si>
    <t>수면제(1T/day, 10YA, L/C), 자궁혹수술(60YA)</t>
  </si>
  <si>
    <t>HLT0456</t>
  </si>
  <si>
    <t>2425a9aa109f</t>
  </si>
  <si>
    <t>HLT0457</t>
  </si>
  <si>
    <t>ebb198b4503c</t>
  </si>
  <si>
    <t>피부과약(휴클러, 아르텐, 류스펜)</t>
  </si>
  <si>
    <t>HLT0458</t>
  </si>
  <si>
    <t>58d0366ee1ce</t>
  </si>
  <si>
    <t>여성호르몬제</t>
  </si>
  <si>
    <t>HLT0459</t>
  </si>
  <si>
    <t>3e20e604c95a</t>
  </si>
  <si>
    <t>HLT0460</t>
  </si>
  <si>
    <t>557de5ae0a13</t>
  </si>
  <si>
    <t>HLT0461</t>
  </si>
  <si>
    <t>c77c9fe2d89c</t>
  </si>
  <si>
    <t>당뇨, 결핵</t>
  </si>
  <si>
    <t>소화기 계통 질환(2년 전부터 복용, 최근에 끊은 상태)</t>
  </si>
  <si>
    <t>HLT0462</t>
  </si>
  <si>
    <t>35c8a733ca04</t>
  </si>
  <si>
    <t>렌즈삽입술(신촌세브란스병원,7YA), 정계정맥류(명지병원,4YA)</t>
  </si>
  <si>
    <t>트리메부틴-1YA, 3T/day(과민성대장증후군 증상있을때만 먹어요)</t>
  </si>
  <si>
    <t>HLT0463</t>
  </si>
  <si>
    <t>0fa46f487f71</t>
  </si>
  <si>
    <t>항우울제(국립정신건강센터, 2YA)</t>
  </si>
  <si>
    <t>HLT0464</t>
  </si>
  <si>
    <t>72e3e0597f33</t>
  </si>
  <si>
    <t>위절제술(7YA), 위궤양약</t>
  </si>
  <si>
    <t>HLT0465</t>
  </si>
  <si>
    <t>f19633aba9d7</t>
  </si>
  <si>
    <t>HLT0466</t>
  </si>
  <si>
    <t>a0415201c80b</t>
  </si>
  <si>
    <t>호르몬제(5YA, 1T/day)</t>
  </si>
  <si>
    <t>HLT0467</t>
  </si>
  <si>
    <t>0dd9a011653b</t>
  </si>
  <si>
    <t>HLT0468</t>
  </si>
  <si>
    <t>2b2418af0c3e</t>
  </si>
  <si>
    <t>피부염(15YA, 약 이름 불명, 3.5T/day)</t>
  </si>
  <si>
    <t>HLT0469</t>
  </si>
  <si>
    <t>HLT0470</t>
  </si>
  <si>
    <t>HLT0471</t>
  </si>
  <si>
    <t>0d2e7fe9e01d</t>
  </si>
  <si>
    <t>당뇨약(15YA), 갑상선약, 고지혈증약, 편도수술, 자궁근종수술</t>
  </si>
  <si>
    <t>HLT0472</t>
  </si>
  <si>
    <t>b45098586a56</t>
  </si>
  <si>
    <t>HLT0473</t>
  </si>
  <si>
    <t>7e7f8110b7b4</t>
  </si>
  <si>
    <t>신장질환,갑상선질환</t>
  </si>
  <si>
    <t>호두까기증후군(신질환)</t>
  </si>
  <si>
    <t>HLT0474</t>
  </si>
  <si>
    <t>HLT0475</t>
  </si>
  <si>
    <t>a485b65a9ade</t>
  </si>
  <si>
    <t>당뇨, 교통사고(25YA, 백병원)</t>
  </si>
  <si>
    <t>신경정신과약(10YA, 3T/day, 구리병원L/C 신경정신과), 당뇨약(10YA, 3T/day, L/C)</t>
  </si>
  <si>
    <t>HLT0476</t>
  </si>
  <si>
    <t>5fb8f220196a</t>
  </si>
  <si>
    <t>골다공증 경구약 매일, 치매예방약, 신지로이드, 갑상선암수술(10YA)</t>
  </si>
  <si>
    <t>HLT0477</t>
  </si>
  <si>
    <t>333d2ae43d6c</t>
  </si>
  <si>
    <t>자궁내막증</t>
  </si>
  <si>
    <t>HLT0478</t>
  </si>
  <si>
    <t>HLT0479</t>
  </si>
  <si>
    <t>951382b735af</t>
  </si>
  <si>
    <t>HLT0480</t>
  </si>
  <si>
    <t>76e7c02ffd37</t>
  </si>
  <si>
    <t>HLT0481</t>
  </si>
  <si>
    <t>53905e3f1a8e</t>
  </si>
  <si>
    <t>골다공증,고혈압,손목수술</t>
  </si>
  <si>
    <t>고혈압(1T/d, 7YA, L/C), 골다공증 주사(1inj/3m, 1YA, last inj: 1MA)</t>
  </si>
  <si>
    <t>HLT0482</t>
  </si>
  <si>
    <t>9cbcaaf275a4</t>
  </si>
  <si>
    <t>HLT0483</t>
  </si>
  <si>
    <t>HLT0484</t>
  </si>
  <si>
    <t>1340844e8926</t>
  </si>
  <si>
    <t>고지혈증 약, 코로나 백신 알러지</t>
  </si>
  <si>
    <t>HLT0485</t>
  </si>
  <si>
    <t>f5229a46d54a</t>
  </si>
  <si>
    <t>어깨수술(1YA, 서울SL병원, LC)</t>
  </si>
  <si>
    <t>HLT0486</t>
  </si>
  <si>
    <t>d963040c6ed8</t>
  </si>
  <si>
    <t>HLT0487</t>
  </si>
  <si>
    <t>dce3931b04e0</t>
  </si>
  <si>
    <t>HLT0488</t>
  </si>
  <si>
    <t>372ab07ad21a</t>
  </si>
  <si>
    <t>수전증약</t>
  </si>
  <si>
    <t>HLT0489</t>
  </si>
  <si>
    <t>88b4785d4979</t>
  </si>
  <si>
    <t>고혈압, 고지혈증(10YA, L/C), 연축성 발성장애(10YA+, 강남제일병원)</t>
  </si>
  <si>
    <t>HLT0490</t>
  </si>
  <si>
    <t>7b4d521032ee</t>
  </si>
  <si>
    <t>고혈압, 백내장수술(3MA)</t>
  </si>
  <si>
    <t>HLT0491</t>
  </si>
  <si>
    <t>22773c64138d</t>
  </si>
  <si>
    <t>고혈압약(1T/day,L/C) 고지혈증(1T/day)</t>
  </si>
  <si>
    <t>HLT0492</t>
  </si>
  <si>
    <t>4b3a9f7e1ddc</t>
  </si>
  <si>
    <t>한약(L/C,1DA,1일2회복용)</t>
  </si>
  <si>
    <t>HLT0493</t>
  </si>
  <si>
    <t>9ad6f330c472</t>
  </si>
  <si>
    <t>항생제, 소염제 복용(10DA)</t>
  </si>
  <si>
    <t>HLT0494</t>
  </si>
  <si>
    <t>75f7929d7423</t>
  </si>
  <si>
    <t>HLT0495</t>
  </si>
  <si>
    <t>f9ade1f5972e</t>
  </si>
  <si>
    <t>당뇨, 녹내장, 백내장</t>
  </si>
  <si>
    <t>당뇨약, 고지혈증약</t>
  </si>
  <si>
    <t>HLT0496</t>
  </si>
  <si>
    <t>e5495ac3dfb6</t>
  </si>
  <si>
    <t>HLT0497</t>
  </si>
  <si>
    <t>138445c8c866</t>
  </si>
  <si>
    <t>HLT0498</t>
  </si>
  <si>
    <t>431c0f25cc68</t>
  </si>
  <si>
    <t>정신질환</t>
  </si>
  <si>
    <t>우울증 약(6-7T/day, 6-7년 복용)</t>
  </si>
  <si>
    <t>HLT0499</t>
  </si>
  <si>
    <t>c95a41d20de2</t>
  </si>
  <si>
    <t>탈장수술</t>
  </si>
  <si>
    <t>HLT0500</t>
  </si>
  <si>
    <t>f260925e483d</t>
  </si>
  <si>
    <t>위염(L/C)</t>
  </si>
  <si>
    <t>HLT0501</t>
  </si>
  <si>
    <t>bbcf8482854f</t>
  </si>
  <si>
    <t>심장수술(3YA,대전유성선병원), 아스피린 복용 중</t>
  </si>
  <si>
    <t>HLT0502</t>
  </si>
  <si>
    <t>7d8dafd9abc2</t>
  </si>
  <si>
    <t>HLT0503</t>
  </si>
  <si>
    <t>9f835bdb97af</t>
  </si>
  <si>
    <t>고지혈증, 당뇨</t>
  </si>
  <si>
    <t>고지혈증약(2T/day)</t>
  </si>
  <si>
    <t>HLT0504</t>
  </si>
  <si>
    <t>bf820b7674cf</t>
  </si>
  <si>
    <t>HLT0505</t>
  </si>
  <si>
    <t>697f2194ea70</t>
  </si>
  <si>
    <t>HLT0506</t>
  </si>
  <si>
    <t>7f404a1eef53</t>
  </si>
  <si>
    <t>HLT0507</t>
  </si>
  <si>
    <t>312385bde64a</t>
  </si>
  <si>
    <t>고혈압, 당뇨, 신장질환</t>
  </si>
  <si>
    <t>고지혈증(10년 이상), 신장약(2MA), 전립선약(5YA)</t>
  </si>
  <si>
    <t>HLT0508</t>
  </si>
  <si>
    <t>b6864a1aed55</t>
  </si>
  <si>
    <t>HLT0509</t>
  </si>
  <si>
    <t>c7a80e6afb53</t>
  </si>
  <si>
    <t>당뇨, 고혈압</t>
  </si>
  <si>
    <t>고지혈증, 협심증, 뇌경색(1T/day), 위장약(1T/day)</t>
  </si>
  <si>
    <t>HLT0510</t>
  </si>
  <si>
    <t>ecda72839a71</t>
  </si>
  <si>
    <t>제왕절개 수술(30YA, 보훈병원)</t>
  </si>
  <si>
    <t>HLT0511</t>
  </si>
  <si>
    <t>031b594e87f3</t>
  </si>
  <si>
    <t>변비약, 비염, 감기</t>
  </si>
  <si>
    <t>HLT0512</t>
  </si>
  <si>
    <t>HLT0513</t>
  </si>
  <si>
    <t>cddae72429bf</t>
  </si>
  <si>
    <t>당뇨, 류마티즘</t>
  </si>
  <si>
    <t>HLT0514</t>
  </si>
  <si>
    <t>764917b5e0e7</t>
  </si>
  <si>
    <t>HLT0515</t>
  </si>
  <si>
    <t>9dc86a70ea2e</t>
  </si>
  <si>
    <t>HLT0516</t>
  </si>
  <si>
    <t>e06869596431</t>
  </si>
  <si>
    <t>골다공증주사(7DA,3개월마다 예방차원에서 맞아요), 고혈압약(2T/D)</t>
  </si>
  <si>
    <t>HLT0517</t>
  </si>
  <si>
    <t>87be0f13cf7b</t>
  </si>
  <si>
    <t>우울증</t>
  </si>
  <si>
    <t>HLT0518</t>
  </si>
  <si>
    <t>b5154abd4e02</t>
  </si>
  <si>
    <t>터널증후군 수술 - 3년전 / 약 복용</t>
  </si>
  <si>
    <t>HLT0519</t>
  </si>
  <si>
    <t>327249e8c35f</t>
  </si>
  <si>
    <t>고혈압, 심장질환(부정맥)</t>
  </si>
  <si>
    <t>고혈압, 심장질환, 혈소판응집억제제</t>
  </si>
  <si>
    <t>HLT0520</t>
  </si>
  <si>
    <t>cce2a0d846a6</t>
  </si>
  <si>
    <t>HLT0521</t>
  </si>
  <si>
    <t>0b51652745a6</t>
  </si>
  <si>
    <t>잠복결핵(23년 4월에 3개월간 약 복용후 종료)</t>
  </si>
  <si>
    <t>HLT0522</t>
  </si>
  <si>
    <t>HLT0523</t>
  </si>
  <si>
    <t>b4d4c20448eb</t>
  </si>
  <si>
    <t>HLT0524</t>
  </si>
  <si>
    <t>6bd17306345c</t>
  </si>
  <si>
    <t>갑상선기능저하증약(1T/d), 불안장애약(1T/d)</t>
  </si>
  <si>
    <t>갑상선기능저하증(8MA)</t>
  </si>
  <si>
    <t>HLT0525</t>
  </si>
  <si>
    <t>22fd29340a5d</t>
  </si>
  <si>
    <t>HLT0526</t>
  </si>
  <si>
    <t>dd04469ed912</t>
  </si>
  <si>
    <t>위암(위전절제) 10YA, 빈혈(철분제 복용 중)</t>
  </si>
  <si>
    <t>HLT0527</t>
  </si>
  <si>
    <t>9521ee5fe30c</t>
  </si>
  <si>
    <t>간경화증약</t>
  </si>
  <si>
    <t>HLT0528</t>
  </si>
  <si>
    <t>440f95cbc746</t>
  </si>
  <si>
    <t>우측 청력상실, 메니에르, 후두혈관종(아산병원 f/u)</t>
  </si>
  <si>
    <t>항생제(d/t 후두혈관종)</t>
  </si>
  <si>
    <t>HLT0529</t>
  </si>
  <si>
    <t>782a09a92c61</t>
  </si>
  <si>
    <t>고혈압,당뇨전단계</t>
  </si>
  <si>
    <t>HLT0530</t>
  </si>
  <si>
    <t>8afd5a50b6ed</t>
  </si>
  <si>
    <t>HLT0531</t>
  </si>
  <si>
    <t>4705c25ae440</t>
  </si>
  <si>
    <t>알레르기(먼지, 햇빛)</t>
  </si>
  <si>
    <t>HLT0532</t>
  </si>
  <si>
    <t>c585547ca471</t>
  </si>
  <si>
    <t>페니실린 알러지</t>
  </si>
  <si>
    <t>HLT0533</t>
  </si>
  <si>
    <t>f94a533ccc96</t>
  </si>
  <si>
    <t>HLT0534</t>
  </si>
  <si>
    <t>6db6a844e091</t>
  </si>
  <si>
    <t>HLT0535</t>
  </si>
  <si>
    <t>69ea30955216</t>
  </si>
  <si>
    <t>고혈압약 (1T/day, L/C), 류마티즘</t>
  </si>
  <si>
    <t>골다공증 inj hx. (last inj : 16MA)</t>
  </si>
  <si>
    <t>HLT0536</t>
  </si>
  <si>
    <t>fb1f9da134b2</t>
  </si>
  <si>
    <t>콜레스테롤 약(3YA, 동부제일병원), 뇌경색 약(5YA, 동부제일병원)</t>
  </si>
  <si>
    <t>발가락 골절 수술(3MA, 동부제일병원)</t>
  </si>
  <si>
    <t>HLT0537</t>
  </si>
  <si>
    <t>8e1ec442fb40</t>
  </si>
  <si>
    <t>HLT0538</t>
  </si>
  <si>
    <t>8e308cdf3d89</t>
  </si>
  <si>
    <t>고지혈증 약 1T/day(아토란)</t>
  </si>
  <si>
    <t>HLT0539</t>
  </si>
  <si>
    <t>e639d698ba10</t>
  </si>
  <si>
    <t>당뇨, 간질환</t>
  </si>
  <si>
    <t>당뇨약(1T/d, 5YA,L/C) 간염 약(1T/d, 5YA,L/C)</t>
  </si>
  <si>
    <t>HLT0540</t>
  </si>
  <si>
    <t>2083f27b20c0</t>
  </si>
  <si>
    <t>삼차신경통 수술(2025.02.)</t>
  </si>
  <si>
    <t>HLT0541</t>
  </si>
  <si>
    <t>011bde91e7f5</t>
  </si>
  <si>
    <t>고지혈증,황반변성,자궁경부암</t>
  </si>
  <si>
    <t>HLT0542</t>
  </si>
  <si>
    <t>55c2d713e600</t>
  </si>
  <si>
    <t>HLT0543</t>
  </si>
  <si>
    <t>ef5b563a4252</t>
  </si>
  <si>
    <t>백내장수술(3MA,L/C)</t>
  </si>
  <si>
    <t>HLT0544</t>
  </si>
  <si>
    <t>1c41351ba7be</t>
  </si>
  <si>
    <t>신경안정제(10Y, 4T/day)</t>
  </si>
  <si>
    <t>HLT0545</t>
  </si>
  <si>
    <t>739857107e6f</t>
  </si>
  <si>
    <t>HLT0546</t>
  </si>
  <si>
    <t>f13883f02a3e</t>
  </si>
  <si>
    <t>HLT0547</t>
  </si>
  <si>
    <t>6a7f6ef5ee7b</t>
  </si>
  <si>
    <t>혈압약, 고지혈증약</t>
  </si>
  <si>
    <t>HLT0548</t>
  </si>
  <si>
    <t>1741716b4da9</t>
  </si>
  <si>
    <t>라미아트(뇌신경과,20YA,2T/day,연세세브란스)</t>
  </si>
  <si>
    <t>HLT0549</t>
  </si>
  <si>
    <t>2dccde8c4ba7</t>
  </si>
  <si>
    <t>HLT0550</t>
  </si>
  <si>
    <t>4cb19e99dc69</t>
  </si>
  <si>
    <t>고지혈증, 갑상선암(3YA)</t>
  </si>
  <si>
    <t>고지혈증약(1T/day)</t>
  </si>
  <si>
    <t>HLT0551</t>
  </si>
  <si>
    <t>82ff4a292545</t>
  </si>
  <si>
    <t>고혈압, 출혈성질환, 자궁적출수술(5YA), 무릎 수술(5YA), 어깨 수술(5YA)</t>
  </si>
  <si>
    <t>고혈압(1YA,1T/d), 관절약(10YA,간헐적으로 드심.), 수면제(8YA)</t>
  </si>
  <si>
    <t>HLT0552</t>
  </si>
  <si>
    <t>00123847bc62</t>
  </si>
  <si>
    <t>HLT0553</t>
  </si>
  <si>
    <t>2c2202a1bf0e</t>
  </si>
  <si>
    <t>다한증 수술(4YA), amoxicillin 알러지</t>
  </si>
  <si>
    <t>다한증약( Glycopyrrolate, 항콜린제)</t>
  </si>
  <si>
    <t>HLT0554</t>
  </si>
  <si>
    <t>HLT0555</t>
  </si>
  <si>
    <t>e72c9f874485</t>
  </si>
  <si>
    <t>HLT0556</t>
  </si>
  <si>
    <t>HLT0557</t>
  </si>
  <si>
    <t>HLT0558</t>
  </si>
  <si>
    <t>028b84ca7c33</t>
  </si>
  <si>
    <t>HLT0559</t>
  </si>
  <si>
    <t>bb515acf9b1b</t>
  </si>
  <si>
    <t>HLT0560</t>
  </si>
  <si>
    <t>f5620db53366</t>
  </si>
  <si>
    <t>허리디스크(3YA)</t>
  </si>
  <si>
    <t>고지혈증약 3MA 한달 복용, 이후 중단</t>
  </si>
  <si>
    <t>HLT0561</t>
  </si>
  <si>
    <t>9395bd42d45f</t>
  </si>
  <si>
    <t>HLT0562</t>
  </si>
  <si>
    <t>57428537438a</t>
  </si>
  <si>
    <t>당뇨약, 고지혈증약(1T/DAY)</t>
  </si>
  <si>
    <t>골다공증약(1T/DAY), 골다공증 주사(1회/6M, 제일 최근에 맞은 건 1MA,3YA부터 주사 시작)</t>
  </si>
  <si>
    <t>HLT0563</t>
  </si>
  <si>
    <t>f2a2daa1be66</t>
  </si>
  <si>
    <t>고혈압약(3년 전에 한 달 정도 복용 후 복용 중단 중)</t>
  </si>
  <si>
    <t>HLT0564</t>
  </si>
  <si>
    <t>faafa49893bd</t>
  </si>
  <si>
    <t>당뇨약(1T/day, 20YA)</t>
  </si>
  <si>
    <t>HLT0565</t>
  </si>
  <si>
    <t>223353d7cfce</t>
  </si>
  <si>
    <t>갑상선 저하증, 전립선약, 고지혈증약, 위보호제(1T/d/1M)</t>
  </si>
  <si>
    <t>HLT0566</t>
  </si>
  <si>
    <t>4ebf9b6ed3ce</t>
  </si>
  <si>
    <t>고혈압, 당뇨, 고지혈증, 전립선비대증</t>
  </si>
  <si>
    <t>혈압약(1T/d), 당뇨약(1T/d), 고지혈증약(1T/d), 칼슘약(이틀에 한번), 전립선비대증약(2T/d)</t>
  </si>
  <si>
    <t>HLT0567</t>
  </si>
  <si>
    <t>efd6b720b46b</t>
  </si>
  <si>
    <t>고지혈증(1T/day,5Y,L/C) , 호르몬제(2T/day,5Y,L/C), 프라펙솔정(1T/day, 2-3Y, L/C), 환인클로나제팜정(1T/day, 2-3Y, L/C)</t>
  </si>
  <si>
    <t>HLT0568</t>
  </si>
  <si>
    <t>6fc7df2e4a56</t>
  </si>
  <si>
    <t>HLT0569</t>
  </si>
  <si>
    <t>00503258094d</t>
  </si>
  <si>
    <t>HLT0570</t>
  </si>
  <si>
    <t>HLT0571</t>
  </si>
  <si>
    <t>f01f1bcf361c</t>
  </si>
  <si>
    <t>고혈압 ※ 1T/day, 조절됨, 당뇨 ※ 1T/day, 기타 ※ 골다공증
골다공증 치료제, 기타 ※ 정형외과 약(L/C)</t>
  </si>
  <si>
    <t>HLT0572</t>
  </si>
  <si>
    <t>55facbfb68c1</t>
  </si>
  <si>
    <t>탈모약(피나스테리드, 미녹시딜, 10Y)</t>
  </si>
  <si>
    <t>HLT0573</t>
  </si>
  <si>
    <t>e31bcd5cc149</t>
  </si>
  <si>
    <t>동맥경화, 골다공증 주사(last inj : 2024.3)</t>
  </si>
  <si>
    <t>HLT0574</t>
  </si>
  <si>
    <t>bb2c07833821</t>
  </si>
  <si>
    <t>HLT0575</t>
  </si>
  <si>
    <t>11ae5816ef59</t>
  </si>
  <si>
    <t>궤양성대장염약 복용(13YA), 녹내장약(10MA)</t>
  </si>
  <si>
    <t>HLT0576</t>
  </si>
  <si>
    <t>494e5c47216a</t>
  </si>
  <si>
    <t>고혈압, 당뇨, 뇌졸중, 고지혈증</t>
  </si>
  <si>
    <t>HLT0577</t>
  </si>
  <si>
    <t>712fe8a5bf4a</t>
  </si>
  <si>
    <t>갑상선 질환, 정신질환</t>
  </si>
  <si>
    <t>씬지로이드(5-6YA), 콘서타, 스트라테라, 폴로작(2YA), 자궁근종 수술(2025.08.)</t>
  </si>
  <si>
    <t>HLT0578</t>
  </si>
  <si>
    <t>8a5387a6b098</t>
  </si>
  <si>
    <t>스테로이드제(2T/d),면역억제제(2T/d)</t>
  </si>
  <si>
    <t>아토피(3YA, 스테로이드 제제 복용중)</t>
  </si>
  <si>
    <t>HLT0579</t>
  </si>
  <si>
    <t>30cf79324686</t>
  </si>
  <si>
    <t>고혈압, 고지혈증, 골다공증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</si>
</sst>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맑은 고딕"/>
      <family val="2"/>
      <charset val="129"/>
      <scheme val="minor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2" borderId="0" xfId="1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1" applyNumberFormat="1" applyFont="1" applyFill="1" applyBorder="1" applyAlignment="1">
      <alignment vertical="top"/>
    </xf>
    <xf numFmtId="1" fontId="0" fillId="0" borderId="0" xfId="1" applyNumberFormat="1" applyFont="1" applyFill="1" applyBorder="1" applyAlignment="1">
      <alignment vertical="top"/>
    </xf>
    <xf numFmtId="2" fontId="0" fillId="0" borderId="0" xfId="1" applyNumberFormat="1" applyFont="1" applyFill="1" applyBorder="1" applyAlignment="1">
      <alignment vertical="top"/>
    </xf>
    <xf numFmtId="176" fontId="0" fillId="0" borderId="0" xfId="1" applyNumberFormat="1" applyFont="1" applyFill="1" applyBorder="1" applyAlignment="1">
      <alignment vertical="top"/>
    </xf>
    <xf numFmtId="0" fontId="0" fillId="0" borderId="0" xfId="1" applyNumberFormat="1" applyFont="1" applyFill="1" applyBorder="1" applyAlignment="1">
      <alignment vertical="top" wrapText="1"/>
    </xf>
  </cellXfs>
  <cellStyles count="2">
    <cellStyle name="Normal" xfId="1" xr:uid="{0C768A82-C715-4E89-AB02-93F865BA48A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68B82-3775-486F-AA79-93DD367C4137}" name="AnalysisDataTable" displayName="AnalysisDataTable" ref="A1:BX580">
  <tableColumns count="76">
    <tableColumn id="1" xr3:uid="{E1E270C9-0D32-4EE7-AD8C-BD3AEA2F6202}" name="Study_ID"/>
    <tableColumn id="2" xr3:uid="{C41BFEE2-047E-43A5-90C0-FCAA70FC5B74}" name="Source_Row"/>
    <tableColumn id="3" xr3:uid="{F4479857-78CD-4ECE-ADE0-7052474C16EF}" name="Patient_Key_hash"/>
    <tableColumn id="4" xr3:uid="{8A9C339D-B3A5-44BA-A321-456AD223F286}" name="Patient_Row_Count"/>
    <tableColumn id="5" xr3:uid="{908CD736-726D-4156-8994-E7E267B7ED2D}" name="Age"/>
    <tableColumn id="6" xr3:uid="{C9764A2B-334F-4141-A4BD-E3413F6D5902}" name="Sex"/>
    <tableColumn id="8" xr3:uid="{F8F5E2A0-CF60-4A73-BC73-BAEC8617FF56}" name="Clinical_Halitosis"/>
    <tableColumn id="9" xr3:uid="{46A44CD6-D8D5-43F5-995D-B8407E236224}" name="Clinical_Xerostomia_or_SalivaryDysfunction"/>
    <tableColumn id="10" xr3:uid="{34049D6C-76A9-4FFC-B532-9D11BB843C7D}" name="H2S_ppb"/>
    <tableColumn id="11" xr3:uid="{31DEDE7F-D091-490E-83A4-EDDE542A32A6}" name="CH3SH_ppb"/>
    <tableColumn id="12" xr3:uid="{EB60F3D8-F730-4E06-A3E5-93FAFFDD7D40}" name="VSC_ppb"/>
    <tableColumn id="13" xr3:uid="{F72E5507-99C8-4A47-B4C5-A92CB0C99C41}" name="VSC_cutoff_ppb">
      <calculatedColumnFormula>IF(F2="F",65.79,IF(F2="M",79.94,""))</calculatedColumnFormula>
    </tableColumn>
    <tableColumn id="14" xr3:uid="{50A2D6D4-B440-4CAA-8450-6AEDAD41FA16}" name="VSC_halitosis">
      <calculatedColumnFormula>IF(AND(ISNUMBER(K2),ISNUMBER(L2),K2&gt;=L2),1,0)</calculatedColumnFormula>
    </tableColumn>
    <tableColumn id="15" xr3:uid="{AA74029E-D3DA-469B-8D81-228B45AF19E5}" name="VSC_halitosis_label">
      <calculatedColumnFormula>IF(M2=1,"VSC-halitosis","VSC-non-halitosis")</calculatedColumnFormula>
    </tableColumn>
    <tableColumn id="16" xr3:uid="{1350238E-BAA1-4114-8428-5E41A3EF2D27}" name="Halitosis_Profile">
      <calculatedColumnFormula>IF(AND(G2=1,M2=1),"Clinical+ / VSC+",IF(AND(G2=1,M2=0),"Clinical+ / VSC-",IF(AND(G2=0,M2=1),"Clinical- / VSC+","Clinical- / VSC-")))</calculatedColumnFormula>
    </tableColumn>
    <tableColumn id="17" xr3:uid="{6EE21B35-5BBC-4326-B369-ECEA5624000C}" name="log_VSC">
      <calculatedColumnFormula>IF(K2&gt;0,LN(K2),"")</calculatedColumnFormula>
    </tableColumn>
    <tableColumn id="18" xr3:uid="{AA6616D9-82BE-4B7E-9990-8D443B922AEA}" name="log_H2S_plus1">
      <calculatedColumnFormula>IF(ISNUMBER(I2),LN(I2+1),"")</calculatedColumnFormula>
    </tableColumn>
    <tableColumn id="19" xr3:uid="{9544C02B-21D6-4460-85A4-2A817F816E3A}" name="log_CH3SH_plus1">
      <calculatedColumnFormula>IF(ISNUMBER(J2),LN(J2+1),"")</calculatedColumnFormula>
    </tableColumn>
    <tableColumn id="20" xr3:uid="{FD03A2EF-9971-486B-B97C-207C29290BC3}" name="CH3SH_fraction_of_VSC">
      <calculatedColumnFormula>IF(K2&gt;0,J2/K2,"")</calculatedColumnFormula>
    </tableColumn>
    <tableColumn id="21" xr3:uid="{3C63FEFC-A318-49E5-B638-BE8D3B65CD24}" name="CH3SH_dominant">
      <calculatedColumnFormula>IF(J2&gt;I2,1,0)</calculatedColumnFormula>
    </tableColumn>
    <tableColumn id="22" xr3:uid="{DC115930-779B-4F14-909D-E708C766B8D5}" name="VSC_Tertile"/>
    <tableColumn id="23" xr3:uid="{0FED103F-234D-4E9D-A18F-D9B98A039C3F}" name="VSC_Tertile_numeric"/>
    <tableColumn id="24" xr3:uid="{1B486388-F95E-4AE5-B5FF-AF24EC7B1AFF}" name="Salivary_pH"/>
    <tableColumn id="25" xr3:uid="{DE27C889-EBA3-4628-AECE-95B1FA5B152F}" name="Salivary_buffer"/>
    <tableColumn id="26" xr3:uid="{0D865CA1-E8A8-40FB-ABA8-24E72477B123}" name="UFR_mL_min"/>
    <tableColumn id="27" xr3:uid="{64A4785C-39BA-4A2D-A616-0C8F5E5B8829}" name="SFR_mL_min"/>
    <tableColumn id="28" xr3:uid="{38518C81-FCE0-4C98-9DE2-67ADEF81CFBF}" name="Sticky_Saliva_raw"/>
    <tableColumn id="29" xr3:uid="{1994281A-7EEA-48A2-941D-6934E762F34F}" name="Sticky_Saliva_binary"/>
    <tableColumn id="30" xr3:uid="{E11AEAD0-F72C-441F-97F0-9B8D989657B3}" name="Oral_Hygiene_raw"/>
    <tableColumn id="31" xr3:uid="{F16DF37B-5B2C-4A2C-9128-A0D25BD85775}" name="Poor_Oral_Hygiene"/>
    <tableColumn id="32" xr3:uid="{AAFFE654-AE22-41D2-BE0E-59EB56FCDA38}" name="Calculus_raw"/>
    <tableColumn id="33" xr3:uid="{42FF5916-07A8-448D-9A5F-693F18B1D3B2}" name="Calculus_present"/>
    <tableColumn id="34" xr3:uid="{C1E7E66A-1973-4143-8776-8F82C4E3040C}" name="Tongue_Coating_raw"/>
    <tableColumn id="35" xr3:uid="{973B7C64-EE79-4520-99EF-D7EF406ECDA2}" name="Tongue_Coating_present"/>
    <tableColumn id="36" xr3:uid="{1CDDDABA-97A3-4B30-92B7-6C4E2A92DD30}" name="Systemic_Disease_Count"/>
    <tableColumn id="37" xr3:uid="{E8A83DF7-5ED9-4B0E-9B0A-5002BEFE8AE3}" name="Medication_Class_Count"/>
    <tableColumn id="38" xr3:uid="{2EEF960F-AA73-4B8E-9920-8821DC832541}" name="Xerogenic_Medication_Burden"/>
    <tableColumn id="39" xr3:uid="{4188E4F6-E128-4C75-BE8C-DD26A3AF2C40}" name="Hypertension"/>
    <tableColumn id="40" xr3:uid="{0D4A8566-CBC0-4296-BDE8-E501A84832AF}" name="Diabetes_Mellitus"/>
    <tableColumn id="41" xr3:uid="{5FAE1BE5-0157-4069-99E1-A0FC9E7F15B1}" name="Dyslipidemias"/>
    <tableColumn id="42" xr3:uid="{995B4CD0-9DE4-412E-9536-4B4F5DA0FF64}" name="Thyroid_Diseases"/>
    <tableColumn id="43" xr3:uid="{ED8583B2-DD40-434C-B7A5-90332D0BEC8C}" name="Heart_Diseases"/>
    <tableColumn id="44" xr3:uid="{89B04A96-0CCE-4C74-B2B8-2A546881F635}" name="Osteoporosis"/>
    <tableColumn id="45" xr3:uid="{C183C90B-58EB-4725-81A4-9685C7313764}" name="Urologic_Diseases"/>
    <tableColumn id="46" xr3:uid="{D0151001-1B96-4971-85A5-1D9F85E6228C}" name="Mental_Disorders"/>
    <tableColumn id="47" xr3:uid="{00DD82C1-203D-40E8-9982-50C76D1BC005}" name="Hypersensitivity"/>
    <tableColumn id="48" xr3:uid="{6D2D7FB8-98A7-49EE-A417-539F2AC8EE13}" name="Neoplasms"/>
    <tableColumn id="49" xr3:uid="{EC9BAB1E-C410-417A-A44C-D3ECC07B5F27}" name="Asthma"/>
    <tableColumn id="50" xr3:uid="{A5AE0B51-4747-4E08-B90C-3DE34B2733AF}" name="Liver_Diseases"/>
    <tableColumn id="51" xr3:uid="{C7BAA06B-181E-41D9-A360-6527496890A1}" name="Rheumatic_Diseases"/>
    <tableColumn id="52" xr3:uid="{A795A9B1-A862-4E55-AD48-630941EF974D}" name="Kidney_Diseases"/>
    <tableColumn id="53" xr3:uid="{D140024D-B13E-489D-BC9E-930B0B7A3DED}" name="Epilepsy"/>
    <tableColumn id="54" xr3:uid="{5C06A774-EE07-49EA-AC93-132F6C405FA1}" name="Osteoarthritis"/>
    <tableColumn id="55" xr3:uid="{DA943F9C-0953-40F6-8833-604C0DF71295}" name="Cerebrovascular_Disorders"/>
    <tableColumn id="56" xr3:uid="{7B368F1C-1371-46FC-9525-DF8083CA9727}" name="Parkinson_Disease"/>
    <tableColumn id="57" xr3:uid="{EE5F4A05-558C-415A-B599-66F56B10B7E4}" name="Sjogren_Syndrome"/>
    <tableColumn id="58" xr3:uid="{C1C3A245-6EA4-443D-ACBB-FE1CFDE71282}" name="Gastroesophageal_Reflux_Disease_or_Gastritis"/>
    <tableColumn id="59" xr3:uid="{FA191A32-39CE-4D05-8FD6-0B4071C31243}" name="Hypolipidemic_Agents"/>
    <tableColumn id="60" xr3:uid="{B5E291CF-FAA7-49B4-9E46-46D665216905}" name="Antihypertensive_Agents"/>
    <tableColumn id="61" xr3:uid="{28F684C1-88A0-4C9C-99FA-6F8F05193083}" name="Bone_Density_Conservation_Agents"/>
    <tableColumn id="62" xr3:uid="{9629B041-DC0E-4BE5-996F-819111B2DFAB}" name="Analgesics_Anti_Inflammatory_Agents"/>
    <tableColumn id="63" xr3:uid="{3D3FC815-859E-4D4E-B786-E2105420A7C6}" name="Hypnotics_and_Sedatives"/>
    <tableColumn id="64" xr3:uid="{F9E1FBF7-1069-4D4C-AFBD-1964DE9AD193}" name="Hypoglycemic_Agents"/>
    <tableColumn id="65" xr3:uid="{03A9274E-0FE8-44CD-8F17-87F3EB547BEF}" name="Platelet_Aggregation_Inhibitors_or_Anticoagulants"/>
    <tableColumn id="66" xr3:uid="{4D556048-6E0E-41AF-AE85-E0BFD771F4BD}" name="Urological_Agents"/>
    <tableColumn id="67" xr3:uid="{E59BC496-8C05-4CD0-8664-1CC8935B77DF}" name="Antidepressive_Agents"/>
    <tableColumn id="68" xr3:uid="{D71B05EB-930E-49E6-962B-766222CC4DC0}" name="Thyroid_Hormones"/>
    <tableColumn id="69" xr3:uid="{A4F123E2-30B6-4C36-85F1-6FAEAB787E5C}" name="Gastrointestinal_Agents"/>
    <tableColumn id="70" xr3:uid="{1E87C008-D6BB-434C-B448-3C875F81E703}" name="Hormone_Therapy_or_Hormonal_Antineoplastic_Agents"/>
    <tableColumn id="71" xr3:uid="{3A5E61FF-5ED4-4CCD-A128-9EEB8B062493}" name="Anti_Allergic_Agents"/>
    <tableColumn id="72" xr3:uid="{6F4172D7-2EE1-4921-9484-5108BE27F9FF}" name="Anticonvulsants"/>
    <tableColumn id="73" xr3:uid="{1C7706BD-8B38-4FB9-9E76-D2ED3E8748DE}" name="Antiasthmatic_Agents"/>
    <tableColumn id="74" xr3:uid="{660DDF2E-716C-49C8-914A-3460FFC2B2C4}" name="Antiparkinson_Agents"/>
    <tableColumn id="75" xr3:uid="{73677F1C-927A-4FE9-9E7C-E681C741A216}" name="Dementia_Drugs"/>
    <tableColumn id="76" xr3:uid="{401C023B-6C2B-4ADD-848D-0C0B5E57AC72}" name="Systemic_History_Text_for_Audit"/>
    <tableColumn id="77" xr3:uid="{42DAE125-ABCE-441E-809C-37A191D57CCF}" name="Other_Medication_Text_for_Au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A220-737B-4B24-92AC-2462E9DEFE5B}">
  <dimension ref="A1:BX580"/>
  <sheetViews>
    <sheetView tabSelected="1" workbookViewId="0">
      <selection sqref="A1:XFD1048576"/>
    </sheetView>
  </sheetViews>
  <sheetFormatPr defaultRowHeight="17"/>
  <cols>
    <col min="1" max="2" width="12" style="2" customWidth="1"/>
    <col min="3" max="3" width="18" style="2" customWidth="1"/>
    <col min="4" max="4" width="12" style="2" customWidth="1"/>
    <col min="5" max="6" width="10" style="2" customWidth="1"/>
    <col min="7" max="20" width="15" style="2" customWidth="1"/>
    <col min="21" max="26" width="12" style="2" customWidth="1"/>
    <col min="27" max="37" width="15" style="2" customWidth="1"/>
    <col min="38" max="74" width="8.6640625" style="2"/>
    <col min="75" max="76" width="45" style="2" customWidth="1"/>
    <col min="77" max="16384" width="8.6640625" style="2"/>
  </cols>
  <sheetData>
    <row r="1" spans="1:76" ht="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t="34">
      <c r="A2" s="3" t="s">
        <v>76</v>
      </c>
      <c r="B2" s="3">
        <v>3271</v>
      </c>
      <c r="C2" s="3" t="s">
        <v>77</v>
      </c>
      <c r="D2" s="3">
        <v>1</v>
      </c>
      <c r="E2" s="4">
        <v>75</v>
      </c>
      <c r="F2" s="3" t="s">
        <v>78</v>
      </c>
      <c r="G2" s="3">
        <v>0</v>
      </c>
      <c r="H2" s="3">
        <v>1</v>
      </c>
      <c r="I2" s="4">
        <v>4</v>
      </c>
      <c r="J2" s="4">
        <v>1</v>
      </c>
      <c r="K2" s="4">
        <v>5</v>
      </c>
      <c r="L2" s="5">
        <f>IF(F2="F",65.79,IF(F2="M",79.94,""))</f>
        <v>79.94</v>
      </c>
      <c r="M2" s="3">
        <f t="shared" ref="M2:M65" si="0">IF(AND(ISNUMBER(K2),ISNUMBER(L2),K2&gt;=L2),1,0)</f>
        <v>0</v>
      </c>
      <c r="N2" s="3" t="str">
        <f t="shared" ref="N2:N65" si="1">IF(M2=1,"VSC-halitosis","VSC-non-halitosis")</f>
        <v>VSC-non-halitosis</v>
      </c>
      <c r="O2" s="3" t="str">
        <f t="shared" ref="O2:O65" si="2">IF(AND(G2=1,M2=1),"Clinical+ / VSC+",IF(AND(G2=1,M2=0),"Clinical+ / VSC-",IF(AND(G2=0,M2=1),"Clinical- / VSC+","Clinical- / VSC-")))</f>
        <v>Clinical- / VSC-</v>
      </c>
      <c r="P2" s="5">
        <f t="shared" ref="P2:P65" si="3">IF(K2&gt;0,LN(K2),"")</f>
        <v>1.6094379124341003</v>
      </c>
      <c r="Q2" s="5">
        <f t="shared" ref="Q2:R65" si="4">IF(ISNUMBER(I2),LN(I2+1),"")</f>
        <v>1.6094379124341003</v>
      </c>
      <c r="R2" s="5">
        <f t="shared" si="4"/>
        <v>0.69314718055994529</v>
      </c>
      <c r="S2" s="5">
        <f t="shared" ref="S2:S65" si="5">IF(K2&gt;0,J2/K2,"")</f>
        <v>0.2</v>
      </c>
      <c r="T2" s="3">
        <f t="shared" ref="T2:T65" si="6">IF(J2&gt;I2,1,0)</f>
        <v>0</v>
      </c>
      <c r="U2" s="3" t="s">
        <v>79</v>
      </c>
      <c r="V2" s="3">
        <v>2</v>
      </c>
      <c r="W2" s="6">
        <v>5.6</v>
      </c>
      <c r="X2" s="4">
        <v>10</v>
      </c>
      <c r="Y2" s="5">
        <v>0.15</v>
      </c>
      <c r="Z2" s="5">
        <v>1.4</v>
      </c>
      <c r="AA2" s="3" t="s">
        <v>80</v>
      </c>
      <c r="AB2" s="3">
        <v>0</v>
      </c>
      <c r="AC2" s="3" t="s">
        <v>81</v>
      </c>
      <c r="AD2" s="3">
        <v>0</v>
      </c>
      <c r="AE2" s="3" t="s">
        <v>82</v>
      </c>
      <c r="AF2" s="3">
        <v>1</v>
      </c>
      <c r="AG2" s="3" t="s">
        <v>82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7" t="s">
        <v>83</v>
      </c>
      <c r="BX2" s="7" t="s">
        <v>84</v>
      </c>
    </row>
    <row r="3" spans="1:76" ht="34">
      <c r="A3" s="3" t="s">
        <v>85</v>
      </c>
      <c r="B3" s="3">
        <v>4132</v>
      </c>
      <c r="C3" s="3" t="s">
        <v>86</v>
      </c>
      <c r="D3" s="3">
        <v>1</v>
      </c>
      <c r="E3" s="4">
        <v>73</v>
      </c>
      <c r="F3" s="3" t="s">
        <v>87</v>
      </c>
      <c r="G3" s="3">
        <v>0</v>
      </c>
      <c r="H3" s="3">
        <v>0</v>
      </c>
      <c r="I3" s="4">
        <v>10</v>
      </c>
      <c r="J3" s="4">
        <v>1</v>
      </c>
      <c r="K3" s="4">
        <v>11</v>
      </c>
      <c r="L3" s="5">
        <f>IF(F3="F",65.79,IF(F3="M",79.94,""))</f>
        <v>65.790000000000006</v>
      </c>
      <c r="M3" s="3">
        <f t="shared" si="0"/>
        <v>0</v>
      </c>
      <c r="N3" s="3" t="str">
        <f t="shared" si="1"/>
        <v>VSC-non-halitosis</v>
      </c>
      <c r="O3" s="3" t="str">
        <f t="shared" si="2"/>
        <v>Clinical- / VSC-</v>
      </c>
      <c r="P3" s="5">
        <f t="shared" si="3"/>
        <v>2.3978952727983707</v>
      </c>
      <c r="Q3" s="5">
        <f t="shared" si="4"/>
        <v>2.3978952727983707</v>
      </c>
      <c r="R3" s="5">
        <f t="shared" si="4"/>
        <v>0.69314718055994529</v>
      </c>
      <c r="S3" s="5">
        <f t="shared" si="5"/>
        <v>9.0909090909090912E-2</v>
      </c>
      <c r="T3" s="3">
        <f t="shared" si="6"/>
        <v>0</v>
      </c>
      <c r="U3" s="3" t="s">
        <v>79</v>
      </c>
      <c r="V3" s="3">
        <v>2</v>
      </c>
      <c r="W3" s="6">
        <v>6.4</v>
      </c>
      <c r="X3" s="4">
        <v>11</v>
      </c>
      <c r="Y3" s="5">
        <v>0.5</v>
      </c>
      <c r="Z3" s="5">
        <v>1.5</v>
      </c>
      <c r="AA3" s="3" t="s">
        <v>88</v>
      </c>
      <c r="AB3" s="3">
        <v>0</v>
      </c>
      <c r="AC3" s="3" t="s">
        <v>89</v>
      </c>
      <c r="AD3" s="3">
        <v>1</v>
      </c>
      <c r="AE3" s="3" t="s">
        <v>90</v>
      </c>
      <c r="AF3" s="3">
        <v>1</v>
      </c>
      <c r="AG3" s="3" t="s">
        <v>91</v>
      </c>
      <c r="AH3" s="3">
        <v>1</v>
      </c>
      <c r="AI3" s="3">
        <v>4</v>
      </c>
      <c r="AJ3" s="3">
        <v>3</v>
      </c>
      <c r="AK3" s="3">
        <v>2</v>
      </c>
      <c r="AL3" s="3">
        <v>1</v>
      </c>
      <c r="AM3" s="3">
        <v>0</v>
      </c>
      <c r="AN3" s="3">
        <v>1</v>
      </c>
      <c r="AO3" s="3">
        <v>0</v>
      </c>
      <c r="AP3" s="3">
        <v>0</v>
      </c>
      <c r="AQ3" s="3">
        <v>0</v>
      </c>
      <c r="AR3" s="3">
        <v>1</v>
      </c>
      <c r="AS3" s="3">
        <v>1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</v>
      </c>
      <c r="BG3" s="3">
        <v>1</v>
      </c>
      <c r="BH3" s="3">
        <v>0</v>
      </c>
      <c r="BI3" s="3">
        <v>0</v>
      </c>
      <c r="BJ3" s="3">
        <v>1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7" t="s">
        <v>92</v>
      </c>
      <c r="BX3" s="7" t="s">
        <v>93</v>
      </c>
    </row>
    <row r="4" spans="1:76">
      <c r="A4" s="3" t="s">
        <v>94</v>
      </c>
      <c r="B4" s="3">
        <v>5944</v>
      </c>
      <c r="C4" s="3" t="s">
        <v>95</v>
      </c>
      <c r="D4" s="3">
        <v>1</v>
      </c>
      <c r="E4" s="4">
        <v>63</v>
      </c>
      <c r="F4" s="3" t="s">
        <v>87</v>
      </c>
      <c r="G4" s="3">
        <v>0</v>
      </c>
      <c r="H4" s="3">
        <v>0</v>
      </c>
      <c r="I4" s="4">
        <v>110</v>
      </c>
      <c r="J4" s="4">
        <v>3</v>
      </c>
      <c r="K4" s="4">
        <v>113</v>
      </c>
      <c r="L4" s="5">
        <f>IF(F4="F",65.79,IF(F4="M",79.94,""))</f>
        <v>65.790000000000006</v>
      </c>
      <c r="M4" s="3">
        <f t="shared" si="0"/>
        <v>1</v>
      </c>
      <c r="N4" s="3" t="str">
        <f t="shared" si="1"/>
        <v>VSC-halitosis</v>
      </c>
      <c r="O4" s="3" t="str">
        <f t="shared" si="2"/>
        <v>Clinical- / VSC+</v>
      </c>
      <c r="P4" s="5">
        <f t="shared" si="3"/>
        <v>4.7273878187123408</v>
      </c>
      <c r="Q4" s="5">
        <f t="shared" si="4"/>
        <v>4.7095302013123339</v>
      </c>
      <c r="R4" s="5">
        <f t="shared" si="4"/>
        <v>1.3862943611198906</v>
      </c>
      <c r="S4" s="5">
        <f t="shared" si="5"/>
        <v>2.6548672566371681E-2</v>
      </c>
      <c r="T4" s="3">
        <f t="shared" si="6"/>
        <v>0</v>
      </c>
      <c r="U4" s="3" t="s">
        <v>96</v>
      </c>
      <c r="V4" s="3">
        <v>3</v>
      </c>
      <c r="W4" s="6">
        <v>7.4</v>
      </c>
      <c r="X4" s="4">
        <v>9</v>
      </c>
      <c r="Y4" s="5">
        <v>0.25</v>
      </c>
      <c r="Z4" s="5">
        <v>1</v>
      </c>
      <c r="AA4" s="3" t="s">
        <v>97</v>
      </c>
      <c r="AB4" s="3">
        <v>0</v>
      </c>
      <c r="AC4" s="3" t="s">
        <v>81</v>
      </c>
      <c r="AD4" s="3">
        <v>0</v>
      </c>
      <c r="AE4" s="3" t="s">
        <v>82</v>
      </c>
      <c r="AF4" s="3">
        <v>1</v>
      </c>
      <c r="AG4" s="3" t="s">
        <v>98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7" t="s">
        <v>99</v>
      </c>
      <c r="BX4" s="7"/>
    </row>
    <row r="5" spans="1:76">
      <c r="A5" s="3" t="s">
        <v>100</v>
      </c>
      <c r="B5" s="3">
        <v>4473</v>
      </c>
      <c r="C5" s="3" t="s">
        <v>101</v>
      </c>
      <c r="D5" s="3">
        <v>1</v>
      </c>
      <c r="E5" s="4">
        <v>61</v>
      </c>
      <c r="F5" s="3" t="s">
        <v>87</v>
      </c>
      <c r="G5" s="3">
        <v>0</v>
      </c>
      <c r="H5" s="3">
        <v>0</v>
      </c>
      <c r="I5" s="4">
        <v>1</v>
      </c>
      <c r="J5" s="4">
        <v>0</v>
      </c>
      <c r="K5" s="4">
        <v>1</v>
      </c>
      <c r="L5" s="5">
        <f>IF(F5="F",65.79,IF(F5="M",79.94,""))</f>
        <v>65.790000000000006</v>
      </c>
      <c r="M5" s="3">
        <f t="shared" si="0"/>
        <v>0</v>
      </c>
      <c r="N5" s="3" t="str">
        <f t="shared" si="1"/>
        <v>VSC-non-halitosis</v>
      </c>
      <c r="O5" s="3" t="str">
        <f t="shared" si="2"/>
        <v>Clinical- / VSC-</v>
      </c>
      <c r="P5" s="5">
        <f t="shared" si="3"/>
        <v>0</v>
      </c>
      <c r="Q5" s="5">
        <f t="shared" si="4"/>
        <v>0.69314718055994529</v>
      </c>
      <c r="R5" s="5">
        <f t="shared" si="4"/>
        <v>0</v>
      </c>
      <c r="S5" s="5">
        <f t="shared" si="5"/>
        <v>0</v>
      </c>
      <c r="T5" s="3">
        <f t="shared" si="6"/>
        <v>0</v>
      </c>
      <c r="U5" s="3" t="s">
        <v>102</v>
      </c>
      <c r="V5" s="3">
        <v>1</v>
      </c>
      <c r="W5" s="6">
        <v>7.6</v>
      </c>
      <c r="X5" s="4">
        <v>10</v>
      </c>
      <c r="Y5" s="5">
        <v>0.75</v>
      </c>
      <c r="Z5" s="5">
        <v>2.5</v>
      </c>
      <c r="AA5" s="3" t="s">
        <v>88</v>
      </c>
      <c r="AB5" s="3">
        <v>0</v>
      </c>
      <c r="AC5" s="3" t="s">
        <v>81</v>
      </c>
      <c r="AD5" s="3">
        <v>0</v>
      </c>
      <c r="AE5" s="3" t="s">
        <v>82</v>
      </c>
      <c r="AF5" s="3">
        <v>1</v>
      </c>
      <c r="AG5" s="3" t="s">
        <v>103</v>
      </c>
      <c r="AH5" s="3">
        <v>1</v>
      </c>
      <c r="AI5" s="3">
        <v>2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1</v>
      </c>
      <c r="AQ5" s="3">
        <v>0</v>
      </c>
      <c r="AR5" s="3">
        <v>0</v>
      </c>
      <c r="AS5" s="3">
        <v>0</v>
      </c>
      <c r="AT5" s="3">
        <v>1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7" t="s">
        <v>104</v>
      </c>
      <c r="BX5" s="7" t="s">
        <v>105</v>
      </c>
    </row>
    <row r="6" spans="1:76">
      <c r="A6" s="3" t="s">
        <v>106</v>
      </c>
      <c r="B6" s="3">
        <v>5767</v>
      </c>
      <c r="C6" s="3" t="s">
        <v>107</v>
      </c>
      <c r="D6" s="3">
        <v>1</v>
      </c>
      <c r="E6" s="4">
        <v>77</v>
      </c>
      <c r="F6" s="3" t="s">
        <v>87</v>
      </c>
      <c r="G6" s="3">
        <v>0</v>
      </c>
      <c r="H6" s="3">
        <v>0</v>
      </c>
      <c r="I6" s="4">
        <v>0</v>
      </c>
      <c r="J6" s="4">
        <v>2</v>
      </c>
      <c r="K6" s="4">
        <v>2</v>
      </c>
      <c r="L6" s="5">
        <f>IF(F6="F",65.79,IF(F6="M",79.94,""))</f>
        <v>65.790000000000006</v>
      </c>
      <c r="M6" s="3">
        <f t="shared" si="0"/>
        <v>0</v>
      </c>
      <c r="N6" s="3" t="str">
        <f t="shared" si="1"/>
        <v>VSC-non-halitosis</v>
      </c>
      <c r="O6" s="3" t="str">
        <f t="shared" si="2"/>
        <v>Clinical- / VSC-</v>
      </c>
      <c r="P6" s="5">
        <f t="shared" si="3"/>
        <v>0.69314718055994529</v>
      </c>
      <c r="Q6" s="5">
        <f t="shared" si="4"/>
        <v>0</v>
      </c>
      <c r="R6" s="5">
        <f t="shared" si="4"/>
        <v>1.0986122886681098</v>
      </c>
      <c r="S6" s="5">
        <f t="shared" si="5"/>
        <v>1</v>
      </c>
      <c r="T6" s="3">
        <f t="shared" si="6"/>
        <v>1</v>
      </c>
      <c r="U6" s="3" t="s">
        <v>102</v>
      </c>
      <c r="V6" s="3">
        <v>1</v>
      </c>
      <c r="W6" s="6">
        <v>6.4</v>
      </c>
      <c r="X6" s="4">
        <v>12</v>
      </c>
      <c r="Y6" s="5">
        <v>0.01</v>
      </c>
      <c r="Z6" s="5">
        <v>0.8</v>
      </c>
      <c r="AA6" s="3" t="s">
        <v>108</v>
      </c>
      <c r="AB6" s="3">
        <v>1</v>
      </c>
      <c r="AC6" s="3" t="s">
        <v>81</v>
      </c>
      <c r="AD6" s="3">
        <v>0</v>
      </c>
      <c r="AE6" s="3" t="s">
        <v>82</v>
      </c>
      <c r="AF6" s="3">
        <v>1</v>
      </c>
      <c r="AG6" s="3" t="s">
        <v>82</v>
      </c>
      <c r="AH6" s="3">
        <v>1</v>
      </c>
      <c r="AI6" s="3">
        <v>3</v>
      </c>
      <c r="AJ6" s="3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1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1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1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7" t="s">
        <v>109</v>
      </c>
      <c r="BX6" s="7" t="s">
        <v>110</v>
      </c>
    </row>
    <row r="7" spans="1:76" ht="34">
      <c r="A7" s="3" t="s">
        <v>111</v>
      </c>
      <c r="B7" s="3">
        <v>5446</v>
      </c>
      <c r="C7" s="3" t="s">
        <v>112</v>
      </c>
      <c r="D7" s="3">
        <v>1</v>
      </c>
      <c r="E7" s="4">
        <v>67</v>
      </c>
      <c r="F7" s="3" t="s">
        <v>87</v>
      </c>
      <c r="G7" s="3">
        <v>0</v>
      </c>
      <c r="H7" s="3">
        <v>1</v>
      </c>
      <c r="I7" s="4">
        <v>0</v>
      </c>
      <c r="J7" s="4">
        <v>1</v>
      </c>
      <c r="K7" s="4">
        <v>1</v>
      </c>
      <c r="L7" s="5">
        <f>IF(F7="F",65.79,IF(F7="M",79.94,""))</f>
        <v>65.790000000000006</v>
      </c>
      <c r="M7" s="3">
        <f t="shared" si="0"/>
        <v>0</v>
      </c>
      <c r="N7" s="3" t="str">
        <f t="shared" si="1"/>
        <v>VSC-non-halitosis</v>
      </c>
      <c r="O7" s="3" t="str">
        <f t="shared" si="2"/>
        <v>Clinical- / VSC-</v>
      </c>
      <c r="P7" s="5">
        <f t="shared" si="3"/>
        <v>0</v>
      </c>
      <c r="Q7" s="5">
        <f t="shared" si="4"/>
        <v>0</v>
      </c>
      <c r="R7" s="5">
        <f t="shared" si="4"/>
        <v>0.69314718055994529</v>
      </c>
      <c r="S7" s="5">
        <f t="shared" si="5"/>
        <v>1</v>
      </c>
      <c r="T7" s="3">
        <f t="shared" si="6"/>
        <v>1</v>
      </c>
      <c r="U7" s="3" t="s">
        <v>102</v>
      </c>
      <c r="V7" s="3">
        <v>1</v>
      </c>
      <c r="W7" s="6">
        <v>6</v>
      </c>
      <c r="X7" s="4">
        <v>4</v>
      </c>
      <c r="Y7" s="5">
        <v>0.2</v>
      </c>
      <c r="Z7" s="5">
        <v>0.9</v>
      </c>
      <c r="AA7" s="3" t="s">
        <v>80</v>
      </c>
      <c r="AB7" s="3">
        <v>0</v>
      </c>
      <c r="AC7" s="3" t="s">
        <v>113</v>
      </c>
      <c r="AD7" s="3">
        <v>0</v>
      </c>
      <c r="AE7" s="3" t="s">
        <v>82</v>
      </c>
      <c r="AF7" s="3">
        <v>1</v>
      </c>
      <c r="AG7" s="3" t="s">
        <v>82</v>
      </c>
      <c r="AH7" s="3">
        <v>1</v>
      </c>
      <c r="AI7" s="3">
        <v>3</v>
      </c>
      <c r="AJ7" s="3">
        <v>3</v>
      </c>
      <c r="AK7" s="3">
        <v>2</v>
      </c>
      <c r="AL7" s="3">
        <v>1</v>
      </c>
      <c r="AM7" s="3">
        <v>0</v>
      </c>
      <c r="AN7" s="3">
        <v>1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1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</v>
      </c>
      <c r="BG7" s="3">
        <v>1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1</v>
      </c>
      <c r="BU7" s="3">
        <v>0</v>
      </c>
      <c r="BV7" s="3">
        <v>0</v>
      </c>
      <c r="BW7" s="7" t="s">
        <v>114</v>
      </c>
      <c r="BX7" s="7" t="s">
        <v>115</v>
      </c>
    </row>
    <row r="8" spans="1:76">
      <c r="A8" s="3" t="s">
        <v>116</v>
      </c>
      <c r="B8" s="3">
        <v>2907</v>
      </c>
      <c r="C8" s="3" t="s">
        <v>117</v>
      </c>
      <c r="D8" s="3">
        <v>1</v>
      </c>
      <c r="E8" s="4">
        <v>73</v>
      </c>
      <c r="F8" s="3" t="s">
        <v>78</v>
      </c>
      <c r="G8" s="3">
        <v>0</v>
      </c>
      <c r="H8" s="3">
        <v>0</v>
      </c>
      <c r="I8" s="4">
        <v>6</v>
      </c>
      <c r="J8" s="4">
        <v>4</v>
      </c>
      <c r="K8" s="4">
        <v>10</v>
      </c>
      <c r="L8" s="5">
        <f>IF(F8="F",65.79,IF(F8="M",79.94,""))</f>
        <v>79.94</v>
      </c>
      <c r="M8" s="3">
        <f t="shared" si="0"/>
        <v>0</v>
      </c>
      <c r="N8" s="3" t="str">
        <f t="shared" si="1"/>
        <v>VSC-non-halitosis</v>
      </c>
      <c r="O8" s="3" t="str">
        <f t="shared" si="2"/>
        <v>Clinical- / VSC-</v>
      </c>
      <c r="P8" s="5">
        <f t="shared" si="3"/>
        <v>2.3025850929940459</v>
      </c>
      <c r="Q8" s="5">
        <f t="shared" si="4"/>
        <v>1.9459101490553132</v>
      </c>
      <c r="R8" s="5">
        <f t="shared" si="4"/>
        <v>1.6094379124341003</v>
      </c>
      <c r="S8" s="5">
        <f t="shared" si="5"/>
        <v>0.4</v>
      </c>
      <c r="T8" s="3">
        <f t="shared" si="6"/>
        <v>0</v>
      </c>
      <c r="U8" s="3" t="s">
        <v>79</v>
      </c>
      <c r="V8" s="3">
        <v>2</v>
      </c>
      <c r="W8" s="6">
        <v>6.6</v>
      </c>
      <c r="X8" s="4">
        <v>12</v>
      </c>
      <c r="Y8" s="5">
        <v>0.5</v>
      </c>
      <c r="Z8" s="5">
        <v>0.6</v>
      </c>
      <c r="AA8" s="3" t="s">
        <v>80</v>
      </c>
      <c r="AB8" s="3">
        <v>0</v>
      </c>
      <c r="AC8" s="3" t="s">
        <v>81</v>
      </c>
      <c r="AD8" s="3">
        <v>0</v>
      </c>
      <c r="AE8" s="3" t="s">
        <v>82</v>
      </c>
      <c r="AF8" s="3">
        <v>1</v>
      </c>
      <c r="AG8" s="3" t="s">
        <v>108</v>
      </c>
      <c r="AH8" s="3">
        <v>1</v>
      </c>
      <c r="AI8" s="3">
        <v>2</v>
      </c>
      <c r="AJ8" s="3">
        <v>0</v>
      </c>
      <c r="AK8" s="3">
        <v>0</v>
      </c>
      <c r="AL8" s="3">
        <v>0</v>
      </c>
      <c r="AM8" s="3">
        <v>1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7" t="s">
        <v>118</v>
      </c>
      <c r="BX8" s="7" t="s">
        <v>119</v>
      </c>
    </row>
    <row r="9" spans="1:76" ht="34">
      <c r="A9" s="3" t="s">
        <v>120</v>
      </c>
      <c r="B9" s="3">
        <v>5978</v>
      </c>
      <c r="C9" s="3" t="s">
        <v>121</v>
      </c>
      <c r="D9" s="3">
        <v>1</v>
      </c>
      <c r="E9" s="4">
        <v>66</v>
      </c>
      <c r="F9" s="3" t="s">
        <v>87</v>
      </c>
      <c r="G9" s="3">
        <v>0</v>
      </c>
      <c r="H9" s="3">
        <v>0</v>
      </c>
      <c r="I9" s="4">
        <v>5</v>
      </c>
      <c r="J9" s="4">
        <v>1</v>
      </c>
      <c r="K9" s="4">
        <v>6</v>
      </c>
      <c r="L9" s="5">
        <f>IF(F9="F",65.79,IF(F9="M",79.94,""))</f>
        <v>65.790000000000006</v>
      </c>
      <c r="M9" s="3">
        <f t="shared" si="0"/>
        <v>0</v>
      </c>
      <c r="N9" s="3" t="str">
        <f t="shared" si="1"/>
        <v>VSC-non-halitosis</v>
      </c>
      <c r="O9" s="3" t="str">
        <f t="shared" si="2"/>
        <v>Clinical- / VSC-</v>
      </c>
      <c r="P9" s="5">
        <f t="shared" si="3"/>
        <v>1.791759469228055</v>
      </c>
      <c r="Q9" s="5">
        <f t="shared" si="4"/>
        <v>1.791759469228055</v>
      </c>
      <c r="R9" s="5">
        <f t="shared" si="4"/>
        <v>0.69314718055994529</v>
      </c>
      <c r="S9" s="5">
        <f t="shared" si="5"/>
        <v>0.16666666666666666</v>
      </c>
      <c r="T9" s="3">
        <f t="shared" si="6"/>
        <v>0</v>
      </c>
      <c r="U9" s="3" t="s">
        <v>79</v>
      </c>
      <c r="V9" s="3">
        <v>2</v>
      </c>
      <c r="W9" s="6">
        <v>6.8</v>
      </c>
      <c r="X9" s="4">
        <v>9</v>
      </c>
      <c r="Y9" s="5">
        <v>0.4</v>
      </c>
      <c r="Z9" s="5">
        <v>1.4</v>
      </c>
      <c r="AA9" s="3" t="s">
        <v>97</v>
      </c>
      <c r="AB9" s="3">
        <v>0</v>
      </c>
      <c r="AC9" s="3" t="s">
        <v>81</v>
      </c>
      <c r="AD9" s="3">
        <v>0</v>
      </c>
      <c r="AE9" s="3" t="s">
        <v>82</v>
      </c>
      <c r="AF9" s="3">
        <v>1</v>
      </c>
      <c r="AG9" s="3" t="s">
        <v>82</v>
      </c>
      <c r="AH9" s="3">
        <v>1</v>
      </c>
      <c r="AI9" s="3">
        <v>3</v>
      </c>
      <c r="AJ9" s="3">
        <v>3</v>
      </c>
      <c r="AK9" s="3">
        <v>2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1</v>
      </c>
      <c r="AV9" s="3">
        <v>0</v>
      </c>
      <c r="AW9" s="3">
        <v>0</v>
      </c>
      <c r="AX9" s="3">
        <v>0</v>
      </c>
      <c r="AY9" s="3">
        <v>0</v>
      </c>
      <c r="AZ9" s="3">
        <v>1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1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1</v>
      </c>
      <c r="BR9" s="3">
        <v>0</v>
      </c>
      <c r="BS9" s="3">
        <v>1</v>
      </c>
      <c r="BT9" s="3">
        <v>0</v>
      </c>
      <c r="BU9" s="3">
        <v>0</v>
      </c>
      <c r="BV9" s="3">
        <v>0</v>
      </c>
      <c r="BW9" s="7" t="s">
        <v>122</v>
      </c>
      <c r="BX9" s="7" t="s">
        <v>123</v>
      </c>
    </row>
    <row r="10" spans="1:76" ht="34">
      <c r="A10" s="3" t="s">
        <v>124</v>
      </c>
      <c r="B10" s="3">
        <v>6364</v>
      </c>
      <c r="C10" s="3" t="s">
        <v>125</v>
      </c>
      <c r="D10" s="3">
        <v>1</v>
      </c>
      <c r="E10" s="4">
        <v>51</v>
      </c>
      <c r="F10" s="3" t="s">
        <v>87</v>
      </c>
      <c r="G10" s="3">
        <v>0</v>
      </c>
      <c r="H10" s="3">
        <v>0</v>
      </c>
      <c r="I10" s="4">
        <v>1</v>
      </c>
      <c r="J10" s="4">
        <v>0</v>
      </c>
      <c r="K10" s="4">
        <v>1</v>
      </c>
      <c r="L10" s="5">
        <f>IF(F10="F",65.79,IF(F10="M",79.94,""))</f>
        <v>65.790000000000006</v>
      </c>
      <c r="M10" s="3">
        <f t="shared" si="0"/>
        <v>0</v>
      </c>
      <c r="N10" s="3" t="str">
        <f t="shared" si="1"/>
        <v>VSC-non-halitosis</v>
      </c>
      <c r="O10" s="3" t="str">
        <f t="shared" si="2"/>
        <v>Clinical- / VSC-</v>
      </c>
      <c r="P10" s="5">
        <f t="shared" si="3"/>
        <v>0</v>
      </c>
      <c r="Q10" s="5">
        <f t="shared" si="4"/>
        <v>0.69314718055994529</v>
      </c>
      <c r="R10" s="5">
        <f t="shared" si="4"/>
        <v>0</v>
      </c>
      <c r="S10" s="5">
        <f t="shared" si="5"/>
        <v>0</v>
      </c>
      <c r="T10" s="3">
        <f t="shared" si="6"/>
        <v>0</v>
      </c>
      <c r="U10" s="3" t="s">
        <v>102</v>
      </c>
      <c r="V10" s="3">
        <v>1</v>
      </c>
      <c r="W10" s="6">
        <v>6.4</v>
      </c>
      <c r="X10" s="4">
        <v>12</v>
      </c>
      <c r="Y10" s="5">
        <v>0.45</v>
      </c>
      <c r="Z10" s="5">
        <v>0.9</v>
      </c>
      <c r="AA10" s="3" t="s">
        <v>80</v>
      </c>
      <c r="AB10" s="3">
        <v>0</v>
      </c>
      <c r="AC10" s="3" t="s">
        <v>113</v>
      </c>
      <c r="AD10" s="3">
        <v>0</v>
      </c>
      <c r="AE10" s="3" t="s">
        <v>98</v>
      </c>
      <c r="AF10" s="3">
        <v>0</v>
      </c>
      <c r="AG10" s="3" t="s">
        <v>98</v>
      </c>
      <c r="AH10" s="3">
        <v>0</v>
      </c>
      <c r="AI10" s="3">
        <v>2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1</v>
      </c>
      <c r="AU10" s="3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1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7" t="s">
        <v>126</v>
      </c>
      <c r="BX10" s="7" t="s">
        <v>127</v>
      </c>
    </row>
    <row r="11" spans="1:76" ht="34">
      <c r="A11" s="3" t="s">
        <v>128</v>
      </c>
      <c r="B11" s="3">
        <v>3284</v>
      </c>
      <c r="C11" s="3" t="s">
        <v>129</v>
      </c>
      <c r="D11" s="3">
        <v>1</v>
      </c>
      <c r="E11" s="4">
        <v>64</v>
      </c>
      <c r="F11" s="3" t="s">
        <v>87</v>
      </c>
      <c r="G11" s="3">
        <v>0</v>
      </c>
      <c r="H11" s="3">
        <v>0</v>
      </c>
      <c r="I11" s="4">
        <v>597</v>
      </c>
      <c r="J11" s="4">
        <v>148</v>
      </c>
      <c r="K11" s="4">
        <v>745</v>
      </c>
      <c r="L11" s="5">
        <f>IF(F11="F",65.79,IF(F11="M",79.94,""))</f>
        <v>65.790000000000006</v>
      </c>
      <c r="M11" s="3">
        <f t="shared" si="0"/>
        <v>1</v>
      </c>
      <c r="N11" s="3" t="str">
        <f t="shared" si="1"/>
        <v>VSC-halitosis</v>
      </c>
      <c r="O11" s="3" t="str">
        <f t="shared" si="2"/>
        <v>Clinical- / VSC+</v>
      </c>
      <c r="P11" s="5">
        <f t="shared" si="3"/>
        <v>6.6133842183795597</v>
      </c>
      <c r="Q11" s="5">
        <f t="shared" si="4"/>
        <v>6.3935907539506314</v>
      </c>
      <c r="R11" s="5">
        <f t="shared" si="4"/>
        <v>5.0039463059454592</v>
      </c>
      <c r="S11" s="5">
        <f t="shared" si="5"/>
        <v>0.19865771812080538</v>
      </c>
      <c r="T11" s="3">
        <f t="shared" si="6"/>
        <v>0</v>
      </c>
      <c r="U11" s="3" t="s">
        <v>96</v>
      </c>
      <c r="V11" s="3">
        <v>3</v>
      </c>
      <c r="W11" s="6">
        <v>7.2</v>
      </c>
      <c r="X11" s="4">
        <v>10</v>
      </c>
      <c r="Y11" s="5">
        <v>0.2</v>
      </c>
      <c r="Z11" s="5">
        <v>1.2</v>
      </c>
      <c r="AA11" s="3" t="s">
        <v>80</v>
      </c>
      <c r="AB11" s="3">
        <v>0</v>
      </c>
      <c r="AC11" s="3" t="s">
        <v>81</v>
      </c>
      <c r="AD11" s="3">
        <v>0</v>
      </c>
      <c r="AE11" s="3" t="s">
        <v>82</v>
      </c>
      <c r="AF11" s="3">
        <v>1</v>
      </c>
      <c r="AG11" s="3" t="s">
        <v>82</v>
      </c>
      <c r="AH11" s="3">
        <v>1</v>
      </c>
      <c r="AI11" s="3">
        <v>3</v>
      </c>
      <c r="AJ11" s="3">
        <v>2</v>
      </c>
      <c r="AK11" s="3">
        <v>0</v>
      </c>
      <c r="AL11" s="3">
        <v>1</v>
      </c>
      <c r="AM11" s="3">
        <v>0</v>
      </c>
      <c r="AN11" s="3">
        <v>1</v>
      </c>
      <c r="AO11" s="3">
        <v>0</v>
      </c>
      <c r="AP11" s="3">
        <v>1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1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1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7" t="s">
        <v>130</v>
      </c>
      <c r="BX11" s="7" t="s">
        <v>131</v>
      </c>
    </row>
    <row r="12" spans="1:76">
      <c r="A12" s="3" t="s">
        <v>132</v>
      </c>
      <c r="B12" s="3">
        <v>5077</v>
      </c>
      <c r="C12" s="3" t="s">
        <v>133</v>
      </c>
      <c r="D12" s="3">
        <v>1</v>
      </c>
      <c r="E12" s="4">
        <v>63</v>
      </c>
      <c r="F12" s="3" t="s">
        <v>78</v>
      </c>
      <c r="G12" s="3">
        <v>0</v>
      </c>
      <c r="H12" s="3">
        <v>0</v>
      </c>
      <c r="I12" s="4">
        <v>0</v>
      </c>
      <c r="J12" s="4">
        <v>1</v>
      </c>
      <c r="K12" s="4">
        <v>1</v>
      </c>
      <c r="L12" s="5">
        <f>IF(F12="F",65.79,IF(F12="M",79.94,""))</f>
        <v>79.94</v>
      </c>
      <c r="M12" s="3">
        <f t="shared" si="0"/>
        <v>0</v>
      </c>
      <c r="N12" s="3" t="str">
        <f t="shared" si="1"/>
        <v>VSC-non-halitosis</v>
      </c>
      <c r="O12" s="3" t="str">
        <f t="shared" si="2"/>
        <v>Clinical- / VSC-</v>
      </c>
      <c r="P12" s="5">
        <f t="shared" si="3"/>
        <v>0</v>
      </c>
      <c r="Q12" s="5">
        <f t="shared" si="4"/>
        <v>0</v>
      </c>
      <c r="R12" s="5">
        <f t="shared" si="4"/>
        <v>0.69314718055994529</v>
      </c>
      <c r="S12" s="5">
        <f t="shared" si="5"/>
        <v>1</v>
      </c>
      <c r="T12" s="3">
        <f t="shared" si="6"/>
        <v>1</v>
      </c>
      <c r="U12" s="3" t="s">
        <v>102</v>
      </c>
      <c r="V12" s="3">
        <v>1</v>
      </c>
      <c r="W12" s="6">
        <v>6.4</v>
      </c>
      <c r="X12" s="4">
        <v>6</v>
      </c>
      <c r="Y12" s="5">
        <v>0.2</v>
      </c>
      <c r="Z12" s="5">
        <v>0.6</v>
      </c>
      <c r="AA12" s="3" t="s">
        <v>88</v>
      </c>
      <c r="AB12" s="3">
        <v>0</v>
      </c>
      <c r="AC12" s="3" t="s">
        <v>81</v>
      </c>
      <c r="AD12" s="3">
        <v>0</v>
      </c>
      <c r="AE12" s="3" t="s">
        <v>82</v>
      </c>
      <c r="AF12" s="3">
        <v>1</v>
      </c>
      <c r="AG12" s="3" t="s">
        <v>98</v>
      </c>
      <c r="AH12" s="3">
        <v>0</v>
      </c>
      <c r="AI12" s="3">
        <v>2</v>
      </c>
      <c r="AJ12" s="3">
        <v>0</v>
      </c>
      <c r="AK12" s="3">
        <v>0</v>
      </c>
      <c r="AL12" s="3">
        <v>1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7" t="s">
        <v>134</v>
      </c>
      <c r="BX12" s="7" t="s">
        <v>135</v>
      </c>
    </row>
    <row r="13" spans="1:76" ht="34">
      <c r="A13" s="3" t="s">
        <v>136</v>
      </c>
      <c r="B13" s="3">
        <v>6935</v>
      </c>
      <c r="C13" s="3" t="s">
        <v>137</v>
      </c>
      <c r="D13" s="3">
        <v>1</v>
      </c>
      <c r="E13" s="4">
        <v>69</v>
      </c>
      <c r="F13" s="3" t="s">
        <v>78</v>
      </c>
      <c r="G13" s="3">
        <v>0</v>
      </c>
      <c r="H13" s="3">
        <v>1</v>
      </c>
      <c r="I13" s="4">
        <v>4</v>
      </c>
      <c r="J13" s="4">
        <v>1</v>
      </c>
      <c r="K13" s="4">
        <v>5</v>
      </c>
      <c r="L13" s="5">
        <f>IF(F13="F",65.79,IF(F13="M",79.94,""))</f>
        <v>79.94</v>
      </c>
      <c r="M13" s="3">
        <f t="shared" si="0"/>
        <v>0</v>
      </c>
      <c r="N13" s="3" t="str">
        <f t="shared" si="1"/>
        <v>VSC-non-halitosis</v>
      </c>
      <c r="O13" s="3" t="str">
        <f t="shared" si="2"/>
        <v>Clinical- / VSC-</v>
      </c>
      <c r="P13" s="5">
        <f t="shared" si="3"/>
        <v>1.6094379124341003</v>
      </c>
      <c r="Q13" s="5">
        <f t="shared" si="4"/>
        <v>1.6094379124341003</v>
      </c>
      <c r="R13" s="5">
        <f t="shared" si="4"/>
        <v>0.69314718055994529</v>
      </c>
      <c r="S13" s="5">
        <f t="shared" si="5"/>
        <v>0.2</v>
      </c>
      <c r="T13" s="3">
        <f t="shared" si="6"/>
        <v>0</v>
      </c>
      <c r="U13" s="3" t="s">
        <v>79</v>
      </c>
      <c r="V13" s="3">
        <v>2</v>
      </c>
      <c r="W13" s="6">
        <v>6.6</v>
      </c>
      <c r="X13" s="4">
        <v>9</v>
      </c>
      <c r="Y13" s="5"/>
      <c r="Z13" s="5"/>
      <c r="AA13" s="3" t="s">
        <v>108</v>
      </c>
      <c r="AB13" s="3">
        <v>1</v>
      </c>
      <c r="AC13" s="3" t="s">
        <v>138</v>
      </c>
      <c r="AD13" s="3">
        <v>1</v>
      </c>
      <c r="AE13" s="3" t="s">
        <v>82</v>
      </c>
      <c r="AF13" s="3">
        <v>1</v>
      </c>
      <c r="AG13" s="3" t="s">
        <v>82</v>
      </c>
      <c r="AH13" s="3">
        <v>1</v>
      </c>
      <c r="AI13" s="3">
        <v>1</v>
      </c>
      <c r="AJ13" s="3">
        <v>2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1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1</v>
      </c>
      <c r="BU13" s="3">
        <v>0</v>
      </c>
      <c r="BV13" s="3">
        <v>0</v>
      </c>
      <c r="BW13" s="7" t="s">
        <v>139</v>
      </c>
      <c r="BX13" s="7" t="s">
        <v>140</v>
      </c>
    </row>
    <row r="14" spans="1:76">
      <c r="A14" s="3" t="s">
        <v>141</v>
      </c>
      <c r="B14" s="3">
        <v>3440</v>
      </c>
      <c r="C14" s="3" t="s">
        <v>142</v>
      </c>
      <c r="D14" s="3">
        <v>1</v>
      </c>
      <c r="E14" s="4">
        <v>65</v>
      </c>
      <c r="F14" s="3" t="s">
        <v>87</v>
      </c>
      <c r="G14" s="3">
        <v>0</v>
      </c>
      <c r="H14" s="3">
        <v>0</v>
      </c>
      <c r="I14" s="4">
        <v>222</v>
      </c>
      <c r="J14" s="4">
        <v>62</v>
      </c>
      <c r="K14" s="4">
        <v>284</v>
      </c>
      <c r="L14" s="5">
        <f>IF(F14="F",65.79,IF(F14="M",79.94,""))</f>
        <v>65.790000000000006</v>
      </c>
      <c r="M14" s="3">
        <f t="shared" si="0"/>
        <v>1</v>
      </c>
      <c r="N14" s="3" t="str">
        <f t="shared" si="1"/>
        <v>VSC-halitosis</v>
      </c>
      <c r="O14" s="3" t="str">
        <f t="shared" si="2"/>
        <v>Clinical- / VSC+</v>
      </c>
      <c r="P14" s="5">
        <f t="shared" si="3"/>
        <v>5.6489742381612063</v>
      </c>
      <c r="Q14" s="5">
        <f t="shared" si="4"/>
        <v>5.4071717714601188</v>
      </c>
      <c r="R14" s="5">
        <f t="shared" si="4"/>
        <v>4.1431347263915326</v>
      </c>
      <c r="S14" s="5">
        <f t="shared" si="5"/>
        <v>0.21830985915492956</v>
      </c>
      <c r="T14" s="3">
        <f t="shared" si="6"/>
        <v>0</v>
      </c>
      <c r="U14" s="3" t="s">
        <v>96</v>
      </c>
      <c r="V14" s="3">
        <v>3</v>
      </c>
      <c r="W14" s="6">
        <v>7.3</v>
      </c>
      <c r="X14" s="4">
        <v>10</v>
      </c>
      <c r="Y14" s="5">
        <v>0.5</v>
      </c>
      <c r="Z14" s="5">
        <v>0.98000000000000009</v>
      </c>
      <c r="AA14" s="3" t="s">
        <v>80</v>
      </c>
      <c r="AB14" s="3">
        <v>0</v>
      </c>
      <c r="AC14" s="3" t="s">
        <v>113</v>
      </c>
      <c r="AD14" s="3">
        <v>0</v>
      </c>
      <c r="AE14" s="3" t="s">
        <v>82</v>
      </c>
      <c r="AF14" s="3">
        <v>1</v>
      </c>
      <c r="AG14" s="3" t="s">
        <v>98</v>
      </c>
      <c r="AH14" s="3">
        <v>0</v>
      </c>
      <c r="AI14" s="3">
        <v>2</v>
      </c>
      <c r="AJ14" s="3">
        <v>1</v>
      </c>
      <c r="AK14" s="3">
        <v>0</v>
      </c>
      <c r="AL14" s="3">
        <v>1</v>
      </c>
      <c r="AM14" s="3">
        <v>0</v>
      </c>
      <c r="AN14" s="3">
        <v>1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1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7" t="s">
        <v>143</v>
      </c>
      <c r="BX14" s="7" t="s">
        <v>119</v>
      </c>
    </row>
    <row r="15" spans="1:76">
      <c r="A15" s="3" t="s">
        <v>144</v>
      </c>
      <c r="B15" s="3">
        <v>3685</v>
      </c>
      <c r="C15" s="3" t="s">
        <v>145</v>
      </c>
      <c r="D15" s="3">
        <v>8</v>
      </c>
      <c r="E15" s="4">
        <v>65</v>
      </c>
      <c r="F15" s="3" t="s">
        <v>87</v>
      </c>
      <c r="G15" s="3">
        <v>0</v>
      </c>
      <c r="H15" s="3">
        <v>0</v>
      </c>
      <c r="I15" s="4">
        <v>1</v>
      </c>
      <c r="J15" s="4">
        <v>2</v>
      </c>
      <c r="K15" s="4">
        <v>3</v>
      </c>
      <c r="L15" s="5">
        <f>IF(F15="F",65.79,IF(F15="M",79.94,""))</f>
        <v>65.790000000000006</v>
      </c>
      <c r="M15" s="3">
        <f t="shared" si="0"/>
        <v>0</v>
      </c>
      <c r="N15" s="3" t="str">
        <f t="shared" si="1"/>
        <v>VSC-non-halitosis</v>
      </c>
      <c r="O15" s="3" t="str">
        <f t="shared" si="2"/>
        <v>Clinical- / VSC-</v>
      </c>
      <c r="P15" s="5">
        <f t="shared" si="3"/>
        <v>1.0986122886681098</v>
      </c>
      <c r="Q15" s="5">
        <f t="shared" si="4"/>
        <v>0.69314718055994529</v>
      </c>
      <c r="R15" s="5">
        <f t="shared" si="4"/>
        <v>1.0986122886681098</v>
      </c>
      <c r="S15" s="5">
        <f t="shared" si="5"/>
        <v>0.66666666666666663</v>
      </c>
      <c r="T15" s="3">
        <f t="shared" si="6"/>
        <v>1</v>
      </c>
      <c r="U15" s="3" t="s">
        <v>102</v>
      </c>
      <c r="V15" s="3">
        <v>1</v>
      </c>
      <c r="W15" s="6">
        <v>7.6</v>
      </c>
      <c r="X15" s="4">
        <v>12</v>
      </c>
      <c r="Y15" s="5">
        <v>0.25</v>
      </c>
      <c r="Z15" s="5">
        <v>1.4</v>
      </c>
      <c r="AA15" s="3" t="s">
        <v>80</v>
      </c>
      <c r="AB15" s="3">
        <v>0</v>
      </c>
      <c r="AC15" s="3" t="s">
        <v>81</v>
      </c>
      <c r="AD15" s="3">
        <v>0</v>
      </c>
      <c r="AE15" s="3" t="s">
        <v>98</v>
      </c>
      <c r="AF15" s="3">
        <v>0</v>
      </c>
      <c r="AG15" s="3" t="s">
        <v>98</v>
      </c>
      <c r="AH15" s="3">
        <v>0</v>
      </c>
      <c r="AI15" s="3">
        <v>2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>
        <v>1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7" t="s">
        <v>146</v>
      </c>
      <c r="BX15" s="7" t="s">
        <v>147</v>
      </c>
    </row>
    <row r="16" spans="1:76" ht="34">
      <c r="A16" s="3" t="s">
        <v>148</v>
      </c>
      <c r="B16" s="3">
        <v>5828</v>
      </c>
      <c r="C16" s="3" t="s">
        <v>145</v>
      </c>
      <c r="D16" s="3">
        <v>8</v>
      </c>
      <c r="E16" s="4">
        <v>65</v>
      </c>
      <c r="F16" s="3" t="s">
        <v>87</v>
      </c>
      <c r="G16" s="3">
        <v>0</v>
      </c>
      <c r="H16" s="3">
        <v>0</v>
      </c>
      <c r="I16" s="4">
        <v>1</v>
      </c>
      <c r="J16" s="4">
        <v>2</v>
      </c>
      <c r="K16" s="4">
        <v>3</v>
      </c>
      <c r="L16" s="5">
        <f>IF(F16="F",65.79,IF(F16="M",79.94,""))</f>
        <v>65.790000000000006</v>
      </c>
      <c r="M16" s="3">
        <f t="shared" si="0"/>
        <v>0</v>
      </c>
      <c r="N16" s="3" t="str">
        <f t="shared" si="1"/>
        <v>VSC-non-halitosis</v>
      </c>
      <c r="O16" s="3" t="str">
        <f t="shared" si="2"/>
        <v>Clinical- / VSC-</v>
      </c>
      <c r="P16" s="5">
        <f t="shared" si="3"/>
        <v>1.0986122886681098</v>
      </c>
      <c r="Q16" s="5">
        <f t="shared" si="4"/>
        <v>0.69314718055994529</v>
      </c>
      <c r="R16" s="5">
        <f t="shared" si="4"/>
        <v>1.0986122886681098</v>
      </c>
      <c r="S16" s="5">
        <f t="shared" si="5"/>
        <v>0.66666666666666663</v>
      </c>
      <c r="T16" s="3">
        <f t="shared" si="6"/>
        <v>1</v>
      </c>
      <c r="U16" s="3" t="s">
        <v>102</v>
      </c>
      <c r="V16" s="3">
        <v>1</v>
      </c>
      <c r="W16" s="6">
        <v>7.6</v>
      </c>
      <c r="X16" s="4">
        <v>12</v>
      </c>
      <c r="Y16" s="5">
        <v>0.25</v>
      </c>
      <c r="Z16" s="5">
        <v>1.4</v>
      </c>
      <c r="AA16" s="3" t="s">
        <v>80</v>
      </c>
      <c r="AB16" s="3">
        <v>0</v>
      </c>
      <c r="AC16" s="3" t="s">
        <v>81</v>
      </c>
      <c r="AD16" s="3">
        <v>0</v>
      </c>
      <c r="AE16" s="3" t="s">
        <v>98</v>
      </c>
      <c r="AF16" s="3">
        <v>0</v>
      </c>
      <c r="AG16" s="3" t="s">
        <v>98</v>
      </c>
      <c r="AH16" s="3">
        <v>0</v>
      </c>
      <c r="AI16" s="3">
        <v>4</v>
      </c>
      <c r="AJ16" s="3">
        <v>3</v>
      </c>
      <c r="AK16" s="3">
        <v>1</v>
      </c>
      <c r="AL16" s="3">
        <v>1</v>
      </c>
      <c r="AM16" s="3">
        <v>0</v>
      </c>
      <c r="AN16" s="3">
        <v>0</v>
      </c>
      <c r="AO16" s="3">
        <v>1</v>
      </c>
      <c r="AP16" s="3">
        <v>0</v>
      </c>
      <c r="AQ16" s="3">
        <v>1</v>
      </c>
      <c r="AR16" s="3">
        <v>0</v>
      </c>
      <c r="AS16" s="3">
        <v>1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1</v>
      </c>
      <c r="BI16" s="3">
        <v>0</v>
      </c>
      <c r="BJ16" s="3">
        <v>1</v>
      </c>
      <c r="BK16" s="3">
        <v>0</v>
      </c>
      <c r="BL16" s="3">
        <v>0</v>
      </c>
      <c r="BM16" s="3">
        <v>0</v>
      </c>
      <c r="BN16" s="3">
        <v>0</v>
      </c>
      <c r="BO16" s="3">
        <v>1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7" t="s">
        <v>149</v>
      </c>
      <c r="BX16" s="7" t="s">
        <v>150</v>
      </c>
    </row>
    <row r="17" spans="1:76">
      <c r="A17" s="3" t="s">
        <v>151</v>
      </c>
      <c r="B17" s="3">
        <v>3685</v>
      </c>
      <c r="C17" s="3" t="s">
        <v>145</v>
      </c>
      <c r="D17" s="3">
        <v>8</v>
      </c>
      <c r="E17" s="4">
        <v>65</v>
      </c>
      <c r="F17" s="3" t="s">
        <v>87</v>
      </c>
      <c r="G17" s="3">
        <v>0</v>
      </c>
      <c r="H17" s="3">
        <v>0</v>
      </c>
      <c r="I17" s="4">
        <v>1</v>
      </c>
      <c r="J17" s="4">
        <v>2</v>
      </c>
      <c r="K17" s="4">
        <v>3</v>
      </c>
      <c r="L17" s="5">
        <f>IF(F17="F",65.79,IF(F17="M",79.94,""))</f>
        <v>65.790000000000006</v>
      </c>
      <c r="M17" s="3">
        <f t="shared" si="0"/>
        <v>0</v>
      </c>
      <c r="N17" s="3" t="str">
        <f t="shared" si="1"/>
        <v>VSC-non-halitosis</v>
      </c>
      <c r="O17" s="3" t="str">
        <f t="shared" si="2"/>
        <v>Clinical- / VSC-</v>
      </c>
      <c r="P17" s="5">
        <f t="shared" si="3"/>
        <v>1.0986122886681098</v>
      </c>
      <c r="Q17" s="5">
        <f t="shared" si="4"/>
        <v>0.69314718055994529</v>
      </c>
      <c r="R17" s="5">
        <f t="shared" si="4"/>
        <v>1.0986122886681098</v>
      </c>
      <c r="S17" s="5">
        <f t="shared" si="5"/>
        <v>0.66666666666666663</v>
      </c>
      <c r="T17" s="3">
        <f t="shared" si="6"/>
        <v>1</v>
      </c>
      <c r="U17" s="3" t="s">
        <v>102</v>
      </c>
      <c r="V17" s="3">
        <v>1</v>
      </c>
      <c r="W17" s="6">
        <v>6.2</v>
      </c>
      <c r="X17" s="4">
        <v>12</v>
      </c>
      <c r="Y17" s="5">
        <v>0.2</v>
      </c>
      <c r="Z17" s="5">
        <v>1</v>
      </c>
      <c r="AA17" s="3" t="s">
        <v>80</v>
      </c>
      <c r="AB17" s="3">
        <v>0</v>
      </c>
      <c r="AC17" s="3" t="s">
        <v>81</v>
      </c>
      <c r="AD17" s="3">
        <v>0</v>
      </c>
      <c r="AE17" s="3" t="s">
        <v>98</v>
      </c>
      <c r="AF17" s="3">
        <v>0</v>
      </c>
      <c r="AG17" s="3" t="s">
        <v>98</v>
      </c>
      <c r="AH17" s="3">
        <v>0</v>
      </c>
      <c r="AI17" s="3">
        <v>2</v>
      </c>
      <c r="AJ17" s="3">
        <v>0</v>
      </c>
      <c r="AK17" s="3">
        <v>0</v>
      </c>
      <c r="AL17" s="3">
        <v>1</v>
      </c>
      <c r="AM17" s="3">
        <v>0</v>
      </c>
      <c r="AN17" s="3">
        <v>0</v>
      </c>
      <c r="AO17" s="3">
        <v>1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7" t="s">
        <v>146</v>
      </c>
      <c r="BX17" s="7" t="s">
        <v>147</v>
      </c>
    </row>
    <row r="18" spans="1:76" ht="34">
      <c r="A18" s="3" t="s">
        <v>152</v>
      </c>
      <c r="B18" s="3">
        <v>5828</v>
      </c>
      <c r="C18" s="3" t="s">
        <v>145</v>
      </c>
      <c r="D18" s="3">
        <v>8</v>
      </c>
      <c r="E18" s="4">
        <v>65</v>
      </c>
      <c r="F18" s="3" t="s">
        <v>87</v>
      </c>
      <c r="G18" s="3">
        <v>0</v>
      </c>
      <c r="H18" s="3">
        <v>0</v>
      </c>
      <c r="I18" s="4">
        <v>1</v>
      </c>
      <c r="J18" s="4">
        <v>2</v>
      </c>
      <c r="K18" s="4">
        <v>3</v>
      </c>
      <c r="L18" s="5">
        <f>IF(F18="F",65.79,IF(F18="M",79.94,""))</f>
        <v>65.790000000000006</v>
      </c>
      <c r="M18" s="3">
        <f t="shared" si="0"/>
        <v>0</v>
      </c>
      <c r="N18" s="3" t="str">
        <f t="shared" si="1"/>
        <v>VSC-non-halitosis</v>
      </c>
      <c r="O18" s="3" t="str">
        <f t="shared" si="2"/>
        <v>Clinical- / VSC-</v>
      </c>
      <c r="P18" s="5">
        <f t="shared" si="3"/>
        <v>1.0986122886681098</v>
      </c>
      <c r="Q18" s="5">
        <f t="shared" si="4"/>
        <v>0.69314718055994529</v>
      </c>
      <c r="R18" s="5">
        <f t="shared" si="4"/>
        <v>1.0986122886681098</v>
      </c>
      <c r="S18" s="5">
        <f t="shared" si="5"/>
        <v>0.66666666666666663</v>
      </c>
      <c r="T18" s="3">
        <f t="shared" si="6"/>
        <v>1</v>
      </c>
      <c r="U18" s="3" t="s">
        <v>102</v>
      </c>
      <c r="V18" s="3">
        <v>1</v>
      </c>
      <c r="W18" s="6">
        <v>6.2</v>
      </c>
      <c r="X18" s="4">
        <v>12</v>
      </c>
      <c r="Y18" s="5">
        <v>0.2</v>
      </c>
      <c r="Z18" s="5">
        <v>1</v>
      </c>
      <c r="AA18" s="3" t="s">
        <v>80</v>
      </c>
      <c r="AB18" s="3">
        <v>0</v>
      </c>
      <c r="AC18" s="3" t="s">
        <v>81</v>
      </c>
      <c r="AD18" s="3">
        <v>0</v>
      </c>
      <c r="AE18" s="3" t="s">
        <v>98</v>
      </c>
      <c r="AF18" s="3">
        <v>0</v>
      </c>
      <c r="AG18" s="3" t="s">
        <v>98</v>
      </c>
      <c r="AH18" s="3">
        <v>0</v>
      </c>
      <c r="AI18" s="3">
        <v>4</v>
      </c>
      <c r="AJ18" s="3">
        <v>3</v>
      </c>
      <c r="AK18" s="3">
        <v>1</v>
      </c>
      <c r="AL18" s="3">
        <v>1</v>
      </c>
      <c r="AM18" s="3">
        <v>0</v>
      </c>
      <c r="AN18" s="3">
        <v>0</v>
      </c>
      <c r="AO18" s="3">
        <v>1</v>
      </c>
      <c r="AP18" s="3">
        <v>0</v>
      </c>
      <c r="AQ18" s="3">
        <v>1</v>
      </c>
      <c r="AR18" s="3">
        <v>0</v>
      </c>
      <c r="AS18" s="3">
        <v>1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1</v>
      </c>
      <c r="BI18" s="3">
        <v>0</v>
      </c>
      <c r="BJ18" s="3">
        <v>1</v>
      </c>
      <c r="BK18" s="3">
        <v>0</v>
      </c>
      <c r="BL18" s="3">
        <v>0</v>
      </c>
      <c r="BM18" s="3">
        <v>0</v>
      </c>
      <c r="BN18" s="3">
        <v>0</v>
      </c>
      <c r="BO18" s="3">
        <v>1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7" t="s">
        <v>149</v>
      </c>
      <c r="BX18" s="7" t="s">
        <v>150</v>
      </c>
    </row>
    <row r="19" spans="1:76">
      <c r="A19" s="3" t="s">
        <v>153</v>
      </c>
      <c r="B19" s="3">
        <v>3685</v>
      </c>
      <c r="C19" s="3" t="s">
        <v>145</v>
      </c>
      <c r="D19" s="3">
        <v>8</v>
      </c>
      <c r="E19" s="4">
        <v>68</v>
      </c>
      <c r="F19" s="3" t="s">
        <v>87</v>
      </c>
      <c r="G19" s="3">
        <v>0</v>
      </c>
      <c r="H19" s="3">
        <v>0</v>
      </c>
      <c r="I19" s="4">
        <v>3</v>
      </c>
      <c r="J19" s="4">
        <v>0</v>
      </c>
      <c r="K19" s="4">
        <v>3</v>
      </c>
      <c r="L19" s="5">
        <f>IF(F19="F",65.79,IF(F19="M",79.94,""))</f>
        <v>65.790000000000006</v>
      </c>
      <c r="M19" s="3">
        <f t="shared" si="0"/>
        <v>0</v>
      </c>
      <c r="N19" s="3" t="str">
        <f t="shared" si="1"/>
        <v>VSC-non-halitosis</v>
      </c>
      <c r="O19" s="3" t="str">
        <f t="shared" si="2"/>
        <v>Clinical- / VSC-</v>
      </c>
      <c r="P19" s="5">
        <f t="shared" si="3"/>
        <v>1.0986122886681098</v>
      </c>
      <c r="Q19" s="5">
        <f t="shared" si="4"/>
        <v>1.3862943611198906</v>
      </c>
      <c r="R19" s="5">
        <f t="shared" si="4"/>
        <v>0</v>
      </c>
      <c r="S19" s="5">
        <f t="shared" si="5"/>
        <v>0</v>
      </c>
      <c r="T19" s="3">
        <f t="shared" si="6"/>
        <v>0</v>
      </c>
      <c r="U19" s="3" t="s">
        <v>102</v>
      </c>
      <c r="V19" s="3">
        <v>1</v>
      </c>
      <c r="W19" s="6">
        <v>7.6</v>
      </c>
      <c r="X19" s="4">
        <v>12</v>
      </c>
      <c r="Y19" s="5">
        <v>0.25</v>
      </c>
      <c r="Z19" s="5">
        <v>1.4</v>
      </c>
      <c r="AA19" s="3" t="s">
        <v>80</v>
      </c>
      <c r="AB19" s="3">
        <v>0</v>
      </c>
      <c r="AC19" s="3" t="s">
        <v>81</v>
      </c>
      <c r="AD19" s="3">
        <v>0</v>
      </c>
      <c r="AE19" s="3" t="s">
        <v>98</v>
      </c>
      <c r="AF19" s="3">
        <v>0</v>
      </c>
      <c r="AG19" s="3" t="s">
        <v>98</v>
      </c>
      <c r="AH19" s="3">
        <v>0</v>
      </c>
      <c r="AI19" s="3">
        <v>2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>
        <v>1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7" t="s">
        <v>146</v>
      </c>
      <c r="BX19" s="7" t="s">
        <v>147</v>
      </c>
    </row>
    <row r="20" spans="1:76" ht="34">
      <c r="A20" s="3" t="s">
        <v>154</v>
      </c>
      <c r="B20" s="3">
        <v>5828</v>
      </c>
      <c r="C20" s="3" t="s">
        <v>145</v>
      </c>
      <c r="D20" s="3">
        <v>8</v>
      </c>
      <c r="E20" s="4">
        <v>68</v>
      </c>
      <c r="F20" s="3" t="s">
        <v>87</v>
      </c>
      <c r="G20" s="3">
        <v>0</v>
      </c>
      <c r="H20" s="3">
        <v>0</v>
      </c>
      <c r="I20" s="4">
        <v>3</v>
      </c>
      <c r="J20" s="4">
        <v>0</v>
      </c>
      <c r="K20" s="4">
        <v>3</v>
      </c>
      <c r="L20" s="5">
        <f>IF(F20="F",65.79,IF(F20="M",79.94,""))</f>
        <v>65.790000000000006</v>
      </c>
      <c r="M20" s="3">
        <f t="shared" si="0"/>
        <v>0</v>
      </c>
      <c r="N20" s="3" t="str">
        <f t="shared" si="1"/>
        <v>VSC-non-halitosis</v>
      </c>
      <c r="O20" s="3" t="str">
        <f t="shared" si="2"/>
        <v>Clinical- / VSC-</v>
      </c>
      <c r="P20" s="5">
        <f t="shared" si="3"/>
        <v>1.0986122886681098</v>
      </c>
      <c r="Q20" s="5">
        <f t="shared" si="4"/>
        <v>1.3862943611198906</v>
      </c>
      <c r="R20" s="5">
        <f t="shared" si="4"/>
        <v>0</v>
      </c>
      <c r="S20" s="5">
        <f t="shared" si="5"/>
        <v>0</v>
      </c>
      <c r="T20" s="3">
        <f t="shared" si="6"/>
        <v>0</v>
      </c>
      <c r="U20" s="3" t="s">
        <v>102</v>
      </c>
      <c r="V20" s="3">
        <v>1</v>
      </c>
      <c r="W20" s="6">
        <v>7.6</v>
      </c>
      <c r="X20" s="4">
        <v>12</v>
      </c>
      <c r="Y20" s="5">
        <v>0.25</v>
      </c>
      <c r="Z20" s="5">
        <v>1.4</v>
      </c>
      <c r="AA20" s="3" t="s">
        <v>80</v>
      </c>
      <c r="AB20" s="3">
        <v>0</v>
      </c>
      <c r="AC20" s="3" t="s">
        <v>81</v>
      </c>
      <c r="AD20" s="3">
        <v>0</v>
      </c>
      <c r="AE20" s="3" t="s">
        <v>98</v>
      </c>
      <c r="AF20" s="3">
        <v>0</v>
      </c>
      <c r="AG20" s="3" t="s">
        <v>98</v>
      </c>
      <c r="AH20" s="3">
        <v>0</v>
      </c>
      <c r="AI20" s="3">
        <v>4</v>
      </c>
      <c r="AJ20" s="3">
        <v>3</v>
      </c>
      <c r="AK20" s="3">
        <v>1</v>
      </c>
      <c r="AL20" s="3">
        <v>1</v>
      </c>
      <c r="AM20" s="3">
        <v>0</v>
      </c>
      <c r="AN20" s="3">
        <v>0</v>
      </c>
      <c r="AO20" s="3">
        <v>1</v>
      </c>
      <c r="AP20" s="3">
        <v>0</v>
      </c>
      <c r="AQ20" s="3">
        <v>1</v>
      </c>
      <c r="AR20" s="3">
        <v>0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1</v>
      </c>
      <c r="BI20" s="3">
        <v>0</v>
      </c>
      <c r="BJ20" s="3">
        <v>1</v>
      </c>
      <c r="BK20" s="3">
        <v>0</v>
      </c>
      <c r="BL20" s="3">
        <v>0</v>
      </c>
      <c r="BM20" s="3">
        <v>0</v>
      </c>
      <c r="BN20" s="3">
        <v>0</v>
      </c>
      <c r="BO20" s="3">
        <v>1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7" t="s">
        <v>149</v>
      </c>
      <c r="BX20" s="7" t="s">
        <v>150</v>
      </c>
    </row>
    <row r="21" spans="1:76">
      <c r="A21" s="3" t="s">
        <v>155</v>
      </c>
      <c r="B21" s="3">
        <v>3685</v>
      </c>
      <c r="C21" s="3" t="s">
        <v>145</v>
      </c>
      <c r="D21" s="3">
        <v>8</v>
      </c>
      <c r="E21" s="4">
        <v>68</v>
      </c>
      <c r="F21" s="3" t="s">
        <v>87</v>
      </c>
      <c r="G21" s="3">
        <v>0</v>
      </c>
      <c r="H21" s="3">
        <v>0</v>
      </c>
      <c r="I21" s="4">
        <v>3</v>
      </c>
      <c r="J21" s="4">
        <v>0</v>
      </c>
      <c r="K21" s="4">
        <v>3</v>
      </c>
      <c r="L21" s="5">
        <f>IF(F21="F",65.79,IF(F21="M",79.94,""))</f>
        <v>65.790000000000006</v>
      </c>
      <c r="M21" s="3">
        <f t="shared" si="0"/>
        <v>0</v>
      </c>
      <c r="N21" s="3" t="str">
        <f t="shared" si="1"/>
        <v>VSC-non-halitosis</v>
      </c>
      <c r="O21" s="3" t="str">
        <f t="shared" si="2"/>
        <v>Clinical- / VSC-</v>
      </c>
      <c r="P21" s="5">
        <f t="shared" si="3"/>
        <v>1.0986122886681098</v>
      </c>
      <c r="Q21" s="5">
        <f t="shared" si="4"/>
        <v>1.3862943611198906</v>
      </c>
      <c r="R21" s="5">
        <f t="shared" si="4"/>
        <v>0</v>
      </c>
      <c r="S21" s="5">
        <f t="shared" si="5"/>
        <v>0</v>
      </c>
      <c r="T21" s="3">
        <f t="shared" si="6"/>
        <v>0</v>
      </c>
      <c r="U21" s="3" t="s">
        <v>102</v>
      </c>
      <c r="V21" s="3">
        <v>1</v>
      </c>
      <c r="W21" s="6">
        <v>6.2</v>
      </c>
      <c r="X21" s="4">
        <v>12</v>
      </c>
      <c r="Y21" s="5">
        <v>0.2</v>
      </c>
      <c r="Z21" s="5">
        <v>1</v>
      </c>
      <c r="AA21" s="3" t="s">
        <v>80</v>
      </c>
      <c r="AB21" s="3">
        <v>0</v>
      </c>
      <c r="AC21" s="3" t="s">
        <v>81</v>
      </c>
      <c r="AD21" s="3">
        <v>0</v>
      </c>
      <c r="AE21" s="3" t="s">
        <v>98</v>
      </c>
      <c r="AF21" s="3">
        <v>0</v>
      </c>
      <c r="AG21" s="3" t="s">
        <v>98</v>
      </c>
      <c r="AH21" s="3">
        <v>0</v>
      </c>
      <c r="AI21" s="3">
        <v>2</v>
      </c>
      <c r="AJ21" s="3">
        <v>0</v>
      </c>
      <c r="AK21" s="3">
        <v>0</v>
      </c>
      <c r="AL21" s="3">
        <v>1</v>
      </c>
      <c r="AM21" s="3">
        <v>0</v>
      </c>
      <c r="AN21" s="3">
        <v>0</v>
      </c>
      <c r="AO21" s="3">
        <v>1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7" t="s">
        <v>146</v>
      </c>
      <c r="BX21" s="7" t="s">
        <v>147</v>
      </c>
    </row>
    <row r="22" spans="1:76" ht="34">
      <c r="A22" s="3" t="s">
        <v>156</v>
      </c>
      <c r="B22" s="3">
        <v>5828</v>
      </c>
      <c r="C22" s="3" t="s">
        <v>145</v>
      </c>
      <c r="D22" s="3">
        <v>8</v>
      </c>
      <c r="E22" s="4">
        <v>68</v>
      </c>
      <c r="F22" s="3" t="s">
        <v>87</v>
      </c>
      <c r="G22" s="3">
        <v>0</v>
      </c>
      <c r="H22" s="3">
        <v>0</v>
      </c>
      <c r="I22" s="4">
        <v>3</v>
      </c>
      <c r="J22" s="4">
        <v>0</v>
      </c>
      <c r="K22" s="4">
        <v>3</v>
      </c>
      <c r="L22" s="5">
        <f>IF(F22="F",65.79,IF(F22="M",79.94,""))</f>
        <v>65.790000000000006</v>
      </c>
      <c r="M22" s="3">
        <f t="shared" si="0"/>
        <v>0</v>
      </c>
      <c r="N22" s="3" t="str">
        <f t="shared" si="1"/>
        <v>VSC-non-halitosis</v>
      </c>
      <c r="O22" s="3" t="str">
        <f t="shared" si="2"/>
        <v>Clinical- / VSC-</v>
      </c>
      <c r="P22" s="5">
        <f t="shared" si="3"/>
        <v>1.0986122886681098</v>
      </c>
      <c r="Q22" s="5">
        <f t="shared" si="4"/>
        <v>1.3862943611198906</v>
      </c>
      <c r="R22" s="5">
        <f t="shared" si="4"/>
        <v>0</v>
      </c>
      <c r="S22" s="5">
        <f t="shared" si="5"/>
        <v>0</v>
      </c>
      <c r="T22" s="3">
        <f t="shared" si="6"/>
        <v>0</v>
      </c>
      <c r="U22" s="3" t="s">
        <v>102</v>
      </c>
      <c r="V22" s="3">
        <v>1</v>
      </c>
      <c r="W22" s="6">
        <v>6.2</v>
      </c>
      <c r="X22" s="4">
        <v>12</v>
      </c>
      <c r="Y22" s="5">
        <v>0.2</v>
      </c>
      <c r="Z22" s="5">
        <v>1</v>
      </c>
      <c r="AA22" s="3" t="s">
        <v>80</v>
      </c>
      <c r="AB22" s="3">
        <v>0</v>
      </c>
      <c r="AC22" s="3" t="s">
        <v>81</v>
      </c>
      <c r="AD22" s="3">
        <v>0</v>
      </c>
      <c r="AE22" s="3" t="s">
        <v>98</v>
      </c>
      <c r="AF22" s="3">
        <v>0</v>
      </c>
      <c r="AG22" s="3" t="s">
        <v>98</v>
      </c>
      <c r="AH22" s="3">
        <v>0</v>
      </c>
      <c r="AI22" s="3">
        <v>4</v>
      </c>
      <c r="AJ22" s="3">
        <v>3</v>
      </c>
      <c r="AK22" s="3">
        <v>1</v>
      </c>
      <c r="AL22" s="3">
        <v>1</v>
      </c>
      <c r="AM22" s="3">
        <v>0</v>
      </c>
      <c r="AN22" s="3">
        <v>0</v>
      </c>
      <c r="AO22" s="3">
        <v>1</v>
      </c>
      <c r="AP22" s="3">
        <v>0</v>
      </c>
      <c r="AQ22" s="3">
        <v>1</v>
      </c>
      <c r="AR22" s="3">
        <v>0</v>
      </c>
      <c r="AS22" s="3">
        <v>1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1</v>
      </c>
      <c r="BI22" s="3">
        <v>0</v>
      </c>
      <c r="BJ22" s="3">
        <v>1</v>
      </c>
      <c r="BK22" s="3">
        <v>0</v>
      </c>
      <c r="BL22" s="3">
        <v>0</v>
      </c>
      <c r="BM22" s="3">
        <v>0</v>
      </c>
      <c r="BN22" s="3">
        <v>0</v>
      </c>
      <c r="BO22" s="3">
        <v>1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7" t="s">
        <v>149</v>
      </c>
      <c r="BX22" s="7" t="s">
        <v>150</v>
      </c>
    </row>
    <row r="23" spans="1:76">
      <c r="A23" s="3" t="s">
        <v>157</v>
      </c>
      <c r="B23" s="3">
        <v>6106</v>
      </c>
      <c r="C23" s="3" t="s">
        <v>158</v>
      </c>
      <c r="D23" s="3">
        <v>1</v>
      </c>
      <c r="E23" s="4">
        <v>51</v>
      </c>
      <c r="F23" s="3" t="s">
        <v>87</v>
      </c>
      <c r="G23" s="3">
        <v>0</v>
      </c>
      <c r="H23" s="3">
        <v>0</v>
      </c>
      <c r="I23" s="4">
        <v>40</v>
      </c>
      <c r="J23" s="4">
        <v>7</v>
      </c>
      <c r="K23" s="4">
        <v>47</v>
      </c>
      <c r="L23" s="5">
        <f>IF(F23="F",65.79,IF(F23="M",79.94,""))</f>
        <v>65.790000000000006</v>
      </c>
      <c r="M23" s="3">
        <f t="shared" si="0"/>
        <v>0</v>
      </c>
      <c r="N23" s="3" t="str">
        <f t="shared" si="1"/>
        <v>VSC-non-halitosis</v>
      </c>
      <c r="O23" s="3" t="str">
        <f t="shared" si="2"/>
        <v>Clinical- / VSC-</v>
      </c>
      <c r="P23" s="5">
        <f t="shared" si="3"/>
        <v>3.8501476017100584</v>
      </c>
      <c r="Q23" s="5">
        <f t="shared" si="4"/>
        <v>3.713572066704308</v>
      </c>
      <c r="R23" s="5">
        <f t="shared" si="4"/>
        <v>2.0794415416798357</v>
      </c>
      <c r="S23" s="5">
        <f t="shared" si="5"/>
        <v>0.14893617021276595</v>
      </c>
      <c r="T23" s="3">
        <f t="shared" si="6"/>
        <v>0</v>
      </c>
      <c r="U23" s="3" t="s">
        <v>96</v>
      </c>
      <c r="V23" s="3">
        <v>3</v>
      </c>
      <c r="W23" s="6">
        <v>6.6</v>
      </c>
      <c r="X23" s="4">
        <v>10</v>
      </c>
      <c r="Y23" s="5">
        <v>0.5</v>
      </c>
      <c r="Z23" s="5">
        <v>2.6</v>
      </c>
      <c r="AA23" s="3" t="s">
        <v>80</v>
      </c>
      <c r="AB23" s="3">
        <v>0</v>
      </c>
      <c r="AC23" s="3" t="s">
        <v>113</v>
      </c>
      <c r="AD23" s="3">
        <v>0</v>
      </c>
      <c r="AE23" s="3" t="s">
        <v>98</v>
      </c>
      <c r="AF23" s="3">
        <v>0</v>
      </c>
      <c r="AG23" s="3" t="s">
        <v>82</v>
      </c>
      <c r="AH23" s="3">
        <v>1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7" t="s">
        <v>159</v>
      </c>
      <c r="BX23" s="7" t="s">
        <v>119</v>
      </c>
    </row>
    <row r="24" spans="1:76">
      <c r="A24" s="3" t="s">
        <v>160</v>
      </c>
      <c r="B24" s="3">
        <v>6038</v>
      </c>
      <c r="C24" s="3" t="s">
        <v>161</v>
      </c>
      <c r="D24" s="3">
        <v>1</v>
      </c>
      <c r="E24" s="4">
        <v>71</v>
      </c>
      <c r="F24" s="3" t="s">
        <v>87</v>
      </c>
      <c r="G24" s="3">
        <v>0</v>
      </c>
      <c r="H24" s="3">
        <v>0</v>
      </c>
      <c r="I24" s="4">
        <v>53</v>
      </c>
      <c r="J24" s="4">
        <v>4</v>
      </c>
      <c r="K24" s="4">
        <v>57</v>
      </c>
      <c r="L24" s="5">
        <f>IF(F24="F",65.79,IF(F24="M",79.94,""))</f>
        <v>65.790000000000006</v>
      </c>
      <c r="M24" s="3">
        <f t="shared" si="0"/>
        <v>0</v>
      </c>
      <c r="N24" s="3" t="str">
        <f t="shared" si="1"/>
        <v>VSC-non-halitosis</v>
      </c>
      <c r="O24" s="3" t="str">
        <f t="shared" si="2"/>
        <v>Clinical- / VSC-</v>
      </c>
      <c r="P24" s="5">
        <f t="shared" si="3"/>
        <v>4.0430512678345503</v>
      </c>
      <c r="Q24" s="5">
        <f t="shared" si="4"/>
        <v>3.9889840465642745</v>
      </c>
      <c r="R24" s="5">
        <f t="shared" si="4"/>
        <v>1.6094379124341003</v>
      </c>
      <c r="S24" s="5">
        <f t="shared" si="5"/>
        <v>7.0175438596491224E-2</v>
      </c>
      <c r="T24" s="3">
        <f t="shared" si="6"/>
        <v>0</v>
      </c>
      <c r="U24" s="3" t="s">
        <v>96</v>
      </c>
      <c r="V24" s="3">
        <v>3</v>
      </c>
      <c r="W24" s="6">
        <v>7.4</v>
      </c>
      <c r="X24" s="4">
        <v>16</v>
      </c>
      <c r="Y24" s="5">
        <v>0.4</v>
      </c>
      <c r="Z24" s="5">
        <v>1.2</v>
      </c>
      <c r="AA24" s="3" t="s">
        <v>80</v>
      </c>
      <c r="AB24" s="3">
        <v>0</v>
      </c>
      <c r="AC24" s="3" t="s">
        <v>81</v>
      </c>
      <c r="AD24" s="3">
        <v>0</v>
      </c>
      <c r="AE24" s="3" t="s">
        <v>98</v>
      </c>
      <c r="AF24" s="3">
        <v>0</v>
      </c>
      <c r="AG24" s="3" t="s">
        <v>98</v>
      </c>
      <c r="AH24" s="3">
        <v>0</v>
      </c>
      <c r="AI24" s="3">
        <v>3</v>
      </c>
      <c r="AJ24" s="3">
        <v>0</v>
      </c>
      <c r="AK24" s="3">
        <v>0</v>
      </c>
      <c r="AL24" s="3">
        <v>1</v>
      </c>
      <c r="AM24" s="3">
        <v>1</v>
      </c>
      <c r="AN24" s="3">
        <v>0</v>
      </c>
      <c r="AO24" s="3">
        <v>0</v>
      </c>
      <c r="AP24" s="3">
        <v>0</v>
      </c>
      <c r="AQ24" s="3">
        <v>1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7" t="s">
        <v>162</v>
      </c>
      <c r="BX24" s="7" t="s">
        <v>163</v>
      </c>
    </row>
    <row r="25" spans="1:76">
      <c r="A25" s="3" t="s">
        <v>164</v>
      </c>
      <c r="B25" s="3">
        <v>3647</v>
      </c>
      <c r="C25" s="3" t="s">
        <v>165</v>
      </c>
      <c r="D25" s="3">
        <v>1</v>
      </c>
      <c r="E25" s="4">
        <v>62</v>
      </c>
      <c r="F25" s="3" t="s">
        <v>87</v>
      </c>
      <c r="G25" s="3">
        <v>0</v>
      </c>
      <c r="H25" s="3">
        <v>0</v>
      </c>
      <c r="I25" s="4">
        <v>69</v>
      </c>
      <c r="J25" s="4">
        <v>24</v>
      </c>
      <c r="K25" s="4">
        <v>93</v>
      </c>
      <c r="L25" s="5">
        <f>IF(F25="F",65.79,IF(F25="M",79.94,""))</f>
        <v>65.790000000000006</v>
      </c>
      <c r="M25" s="3">
        <f t="shared" si="0"/>
        <v>1</v>
      </c>
      <c r="N25" s="3" t="str">
        <f t="shared" si="1"/>
        <v>VSC-halitosis</v>
      </c>
      <c r="O25" s="3" t="str">
        <f t="shared" si="2"/>
        <v>Clinical- / VSC+</v>
      </c>
      <c r="P25" s="5">
        <f t="shared" si="3"/>
        <v>4.5325994931532563</v>
      </c>
      <c r="Q25" s="5">
        <f t="shared" si="4"/>
        <v>4.2484952420493594</v>
      </c>
      <c r="R25" s="5">
        <f t="shared" si="4"/>
        <v>3.2188758248682006</v>
      </c>
      <c r="S25" s="5">
        <f t="shared" si="5"/>
        <v>0.25806451612903225</v>
      </c>
      <c r="T25" s="3">
        <f t="shared" si="6"/>
        <v>0</v>
      </c>
      <c r="U25" s="3" t="s">
        <v>96</v>
      </c>
      <c r="V25" s="3">
        <v>3</v>
      </c>
      <c r="W25" s="6">
        <v>7</v>
      </c>
      <c r="X25" s="4">
        <v>10</v>
      </c>
      <c r="Y25" s="5">
        <v>0.3</v>
      </c>
      <c r="Z25" s="5">
        <v>1.2</v>
      </c>
      <c r="AA25" s="3" t="s">
        <v>80</v>
      </c>
      <c r="AB25" s="3">
        <v>0</v>
      </c>
      <c r="AC25" s="3" t="s">
        <v>81</v>
      </c>
      <c r="AD25" s="3">
        <v>0</v>
      </c>
      <c r="AE25" s="3" t="s">
        <v>82</v>
      </c>
      <c r="AF25" s="3">
        <v>1</v>
      </c>
      <c r="AG25" s="3" t="s">
        <v>82</v>
      </c>
      <c r="AH25" s="3">
        <v>1</v>
      </c>
      <c r="AI25" s="3">
        <v>2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</v>
      </c>
      <c r="AP25" s="3">
        <v>0</v>
      </c>
      <c r="AQ25" s="3">
        <v>0</v>
      </c>
      <c r="AR25" s="3">
        <v>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7" t="s">
        <v>166</v>
      </c>
      <c r="BX25" s="7" t="s">
        <v>119</v>
      </c>
    </row>
    <row r="26" spans="1:76" ht="34">
      <c r="A26" s="3" t="s">
        <v>167</v>
      </c>
      <c r="B26" s="3">
        <v>4773</v>
      </c>
      <c r="C26" s="3" t="s">
        <v>168</v>
      </c>
      <c r="D26" s="3">
        <v>1</v>
      </c>
      <c r="E26" s="4">
        <v>76</v>
      </c>
      <c r="F26" s="3" t="s">
        <v>87</v>
      </c>
      <c r="G26" s="3">
        <v>0</v>
      </c>
      <c r="H26" s="3">
        <v>0</v>
      </c>
      <c r="I26" s="4">
        <v>2</v>
      </c>
      <c r="J26" s="4">
        <v>0</v>
      </c>
      <c r="K26" s="4">
        <v>2</v>
      </c>
      <c r="L26" s="5">
        <f>IF(F26="F",65.79,IF(F26="M",79.94,""))</f>
        <v>65.790000000000006</v>
      </c>
      <c r="M26" s="3">
        <f t="shared" si="0"/>
        <v>0</v>
      </c>
      <c r="N26" s="3" t="str">
        <f t="shared" si="1"/>
        <v>VSC-non-halitosis</v>
      </c>
      <c r="O26" s="3" t="str">
        <f t="shared" si="2"/>
        <v>Clinical- / VSC-</v>
      </c>
      <c r="P26" s="5">
        <f t="shared" si="3"/>
        <v>0.69314718055994529</v>
      </c>
      <c r="Q26" s="5">
        <f t="shared" si="4"/>
        <v>1.0986122886681098</v>
      </c>
      <c r="R26" s="5">
        <f t="shared" si="4"/>
        <v>0</v>
      </c>
      <c r="S26" s="5">
        <f t="shared" si="5"/>
        <v>0</v>
      </c>
      <c r="T26" s="3">
        <f t="shared" si="6"/>
        <v>0</v>
      </c>
      <c r="U26" s="3" t="s">
        <v>102</v>
      </c>
      <c r="V26" s="3">
        <v>1</v>
      </c>
      <c r="W26" s="6"/>
      <c r="X26" s="4">
        <v>4</v>
      </c>
      <c r="Y26" s="5">
        <v>0.1</v>
      </c>
      <c r="Z26" s="5">
        <v>1.8</v>
      </c>
      <c r="AA26" s="3" t="s">
        <v>80</v>
      </c>
      <c r="AB26" s="3">
        <v>0</v>
      </c>
      <c r="AC26" s="3" t="s">
        <v>81</v>
      </c>
      <c r="AD26" s="3">
        <v>0</v>
      </c>
      <c r="AE26" s="3" t="s">
        <v>82</v>
      </c>
      <c r="AF26" s="3">
        <v>1</v>
      </c>
      <c r="AG26" s="3" t="s">
        <v>98</v>
      </c>
      <c r="AH26" s="3">
        <v>0</v>
      </c>
      <c r="AI26" s="3">
        <v>4</v>
      </c>
      <c r="AJ26" s="3">
        <v>2</v>
      </c>
      <c r="AK26" s="3">
        <v>0</v>
      </c>
      <c r="AL26" s="3">
        <v>1</v>
      </c>
      <c r="AM26" s="3">
        <v>1</v>
      </c>
      <c r="AN26" s="3">
        <v>0</v>
      </c>
      <c r="AO26" s="3">
        <v>1</v>
      </c>
      <c r="AP26" s="3">
        <v>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0</v>
      </c>
      <c r="BO26" s="3">
        <v>1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7" t="s">
        <v>169</v>
      </c>
      <c r="BX26" s="7" t="s">
        <v>170</v>
      </c>
    </row>
    <row r="27" spans="1:76" ht="34">
      <c r="A27" s="3" t="s">
        <v>171</v>
      </c>
      <c r="B27" s="3">
        <v>3869</v>
      </c>
      <c r="C27" s="3" t="s">
        <v>172</v>
      </c>
      <c r="D27" s="3">
        <v>1</v>
      </c>
      <c r="E27" s="4">
        <v>77</v>
      </c>
      <c r="F27" s="3" t="s">
        <v>87</v>
      </c>
      <c r="G27" s="3">
        <v>0</v>
      </c>
      <c r="H27" s="3">
        <v>0</v>
      </c>
      <c r="I27" s="4">
        <v>0</v>
      </c>
      <c r="J27" s="4">
        <v>1</v>
      </c>
      <c r="K27" s="4">
        <v>1</v>
      </c>
      <c r="L27" s="5">
        <f>IF(F27="F",65.79,IF(F27="M",79.94,""))</f>
        <v>65.790000000000006</v>
      </c>
      <c r="M27" s="3">
        <f t="shared" si="0"/>
        <v>0</v>
      </c>
      <c r="N27" s="3" t="str">
        <f t="shared" si="1"/>
        <v>VSC-non-halitosis</v>
      </c>
      <c r="O27" s="3" t="str">
        <f t="shared" si="2"/>
        <v>Clinical- / VSC-</v>
      </c>
      <c r="P27" s="5">
        <f t="shared" si="3"/>
        <v>0</v>
      </c>
      <c r="Q27" s="5">
        <f t="shared" si="4"/>
        <v>0</v>
      </c>
      <c r="R27" s="5">
        <f t="shared" si="4"/>
        <v>0.69314718055994529</v>
      </c>
      <c r="S27" s="5">
        <f t="shared" si="5"/>
        <v>1</v>
      </c>
      <c r="T27" s="3">
        <f t="shared" si="6"/>
        <v>1</v>
      </c>
      <c r="U27" s="3" t="s">
        <v>102</v>
      </c>
      <c r="V27" s="3">
        <v>1</v>
      </c>
      <c r="W27" s="6">
        <v>5.8</v>
      </c>
      <c r="X27" s="4">
        <v>10</v>
      </c>
      <c r="Y27" s="5">
        <v>0.3</v>
      </c>
      <c r="Z27" s="5">
        <v>0.8</v>
      </c>
      <c r="AA27" s="3" t="s">
        <v>80</v>
      </c>
      <c r="AB27" s="3">
        <v>0</v>
      </c>
      <c r="AC27" s="3" t="s">
        <v>81</v>
      </c>
      <c r="AD27" s="3">
        <v>0</v>
      </c>
      <c r="AE27" s="3" t="s">
        <v>82</v>
      </c>
      <c r="AF27" s="3">
        <v>1</v>
      </c>
      <c r="AG27" s="3" t="s">
        <v>82</v>
      </c>
      <c r="AH27" s="3">
        <v>1</v>
      </c>
      <c r="AI27" s="3">
        <v>4</v>
      </c>
      <c r="AJ27" s="3">
        <v>2</v>
      </c>
      <c r="AK27" s="3">
        <v>1</v>
      </c>
      <c r="AL27" s="3">
        <v>1</v>
      </c>
      <c r="AM27" s="3">
        <v>0</v>
      </c>
      <c r="AN27" s="3">
        <v>1</v>
      </c>
      <c r="AO27" s="3">
        <v>0</v>
      </c>
      <c r="AP27" s="3">
        <v>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1</v>
      </c>
      <c r="BF27" s="3">
        <v>1</v>
      </c>
      <c r="BG27" s="3">
        <v>1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7" t="s">
        <v>173</v>
      </c>
      <c r="BX27" s="7" t="s">
        <v>174</v>
      </c>
    </row>
    <row r="28" spans="1:76" ht="34">
      <c r="A28" s="3" t="s">
        <v>175</v>
      </c>
      <c r="B28" s="3">
        <v>5351</v>
      </c>
      <c r="C28" s="3" t="s">
        <v>176</v>
      </c>
      <c r="D28" s="3">
        <v>1</v>
      </c>
      <c r="E28" s="4">
        <v>67</v>
      </c>
      <c r="F28" s="3" t="s">
        <v>87</v>
      </c>
      <c r="G28" s="3">
        <v>0</v>
      </c>
      <c r="H28" s="3">
        <v>0</v>
      </c>
      <c r="I28" s="4">
        <v>1</v>
      </c>
      <c r="J28" s="4">
        <v>2</v>
      </c>
      <c r="K28" s="4">
        <v>3</v>
      </c>
      <c r="L28" s="5">
        <f>IF(F28="F",65.79,IF(F28="M",79.94,""))</f>
        <v>65.790000000000006</v>
      </c>
      <c r="M28" s="3">
        <f t="shared" si="0"/>
        <v>0</v>
      </c>
      <c r="N28" s="3" t="str">
        <f t="shared" si="1"/>
        <v>VSC-non-halitosis</v>
      </c>
      <c r="O28" s="3" t="str">
        <f t="shared" si="2"/>
        <v>Clinical- / VSC-</v>
      </c>
      <c r="P28" s="5">
        <f t="shared" si="3"/>
        <v>1.0986122886681098</v>
      </c>
      <c r="Q28" s="5">
        <f t="shared" si="4"/>
        <v>0.69314718055994529</v>
      </c>
      <c r="R28" s="5">
        <f t="shared" si="4"/>
        <v>1.0986122886681098</v>
      </c>
      <c r="S28" s="5">
        <f t="shared" si="5"/>
        <v>0.66666666666666663</v>
      </c>
      <c r="T28" s="3">
        <f t="shared" si="6"/>
        <v>1</v>
      </c>
      <c r="U28" s="3" t="s">
        <v>102</v>
      </c>
      <c r="V28" s="3">
        <v>1</v>
      </c>
      <c r="W28" s="6">
        <v>5.8</v>
      </c>
      <c r="X28" s="4">
        <v>8</v>
      </c>
      <c r="Y28" s="5">
        <v>0.2</v>
      </c>
      <c r="Z28" s="5">
        <v>1.5</v>
      </c>
      <c r="AA28" s="3" t="s">
        <v>80</v>
      </c>
      <c r="AB28" s="3">
        <v>0</v>
      </c>
      <c r="AC28" s="3" t="s">
        <v>81</v>
      </c>
      <c r="AD28" s="3">
        <v>0</v>
      </c>
      <c r="AE28" s="3" t="s">
        <v>82</v>
      </c>
      <c r="AF28" s="3">
        <v>1</v>
      </c>
      <c r="AG28" s="3" t="s">
        <v>98</v>
      </c>
      <c r="AH28" s="3">
        <v>0</v>
      </c>
      <c r="AI28" s="3">
        <v>2</v>
      </c>
      <c r="AJ28" s="3">
        <v>3</v>
      </c>
      <c r="AK28" s="3">
        <v>1</v>
      </c>
      <c r="AL28" s="3">
        <v>0</v>
      </c>
      <c r="AM28" s="3">
        <v>0</v>
      </c>
      <c r="AN28" s="3">
        <v>1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1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1</v>
      </c>
      <c r="BM28" s="3">
        <v>0</v>
      </c>
      <c r="BN28" s="3">
        <v>0</v>
      </c>
      <c r="BO28" s="3">
        <v>0</v>
      </c>
      <c r="BP28" s="3">
        <v>1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7" t="s">
        <v>177</v>
      </c>
      <c r="BX28" s="7"/>
    </row>
    <row r="29" spans="1:76">
      <c r="A29" s="3" t="s">
        <v>178</v>
      </c>
      <c r="B29" s="3">
        <v>2929</v>
      </c>
      <c r="C29" s="3" t="s">
        <v>179</v>
      </c>
      <c r="D29" s="3">
        <v>2</v>
      </c>
      <c r="E29" s="4">
        <v>52</v>
      </c>
      <c r="F29" s="3" t="s">
        <v>87</v>
      </c>
      <c r="G29" s="3">
        <v>0</v>
      </c>
      <c r="H29" s="3">
        <v>0</v>
      </c>
      <c r="I29" s="4">
        <v>31</v>
      </c>
      <c r="J29" s="4">
        <v>1</v>
      </c>
      <c r="K29" s="4">
        <v>32</v>
      </c>
      <c r="L29" s="5">
        <f>IF(F29="F",65.79,IF(F29="M",79.94,""))</f>
        <v>65.790000000000006</v>
      </c>
      <c r="M29" s="3">
        <f t="shared" si="0"/>
        <v>0</v>
      </c>
      <c r="N29" s="3" t="str">
        <f t="shared" si="1"/>
        <v>VSC-non-halitosis</v>
      </c>
      <c r="O29" s="3" t="str">
        <f t="shared" si="2"/>
        <v>Clinical- / VSC-</v>
      </c>
      <c r="P29" s="5">
        <f t="shared" si="3"/>
        <v>3.4657359027997265</v>
      </c>
      <c r="Q29" s="5">
        <f t="shared" si="4"/>
        <v>3.4657359027997265</v>
      </c>
      <c r="R29" s="5">
        <f t="shared" si="4"/>
        <v>0.69314718055994529</v>
      </c>
      <c r="S29" s="5">
        <f t="shared" si="5"/>
        <v>3.125E-2</v>
      </c>
      <c r="T29" s="3">
        <f t="shared" si="6"/>
        <v>0</v>
      </c>
      <c r="U29" s="3" t="s">
        <v>96</v>
      </c>
      <c r="V29" s="3">
        <v>3</v>
      </c>
      <c r="W29" s="6"/>
      <c r="X29" s="4">
        <v>12</v>
      </c>
      <c r="Y29" s="5">
        <v>0.25</v>
      </c>
      <c r="Z29" s="5">
        <v>0.8</v>
      </c>
      <c r="AA29" s="3" t="s">
        <v>108</v>
      </c>
      <c r="AB29" s="3">
        <v>1</v>
      </c>
      <c r="AC29" s="3" t="s">
        <v>81</v>
      </c>
      <c r="AD29" s="3">
        <v>0</v>
      </c>
      <c r="AE29" s="3" t="s">
        <v>82</v>
      </c>
      <c r="AF29" s="3">
        <v>1</v>
      </c>
      <c r="AG29" s="3" t="s">
        <v>80</v>
      </c>
      <c r="AH29" s="3">
        <v>0</v>
      </c>
      <c r="AI29" s="3">
        <v>1</v>
      </c>
      <c r="AJ29" s="3">
        <v>2</v>
      </c>
      <c r="AK29" s="3">
        <v>2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1</v>
      </c>
      <c r="BK29" s="3">
        <v>0</v>
      </c>
      <c r="BL29" s="3">
        <v>0</v>
      </c>
      <c r="BM29" s="3">
        <v>0</v>
      </c>
      <c r="BN29" s="3">
        <v>1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7" t="s">
        <v>180</v>
      </c>
      <c r="BX29" s="7" t="s">
        <v>181</v>
      </c>
    </row>
    <row r="30" spans="1:76">
      <c r="A30" s="3" t="s">
        <v>182</v>
      </c>
      <c r="B30" s="3">
        <v>4649</v>
      </c>
      <c r="C30" s="3" t="s">
        <v>179</v>
      </c>
      <c r="D30" s="3">
        <v>2</v>
      </c>
      <c r="E30" s="4">
        <v>52</v>
      </c>
      <c r="F30" s="3" t="s">
        <v>87</v>
      </c>
      <c r="G30" s="3">
        <v>0</v>
      </c>
      <c r="H30" s="3">
        <v>1</v>
      </c>
      <c r="I30" s="4">
        <v>31</v>
      </c>
      <c r="J30" s="4">
        <v>1</v>
      </c>
      <c r="K30" s="4">
        <v>32</v>
      </c>
      <c r="L30" s="5">
        <f>IF(F30="F",65.79,IF(F30="M",79.94,""))</f>
        <v>65.790000000000006</v>
      </c>
      <c r="M30" s="3">
        <f t="shared" si="0"/>
        <v>0</v>
      </c>
      <c r="N30" s="3" t="str">
        <f t="shared" si="1"/>
        <v>VSC-non-halitosis</v>
      </c>
      <c r="O30" s="3" t="str">
        <f t="shared" si="2"/>
        <v>Clinical- / VSC-</v>
      </c>
      <c r="P30" s="5">
        <f t="shared" si="3"/>
        <v>3.4657359027997265</v>
      </c>
      <c r="Q30" s="5">
        <f t="shared" si="4"/>
        <v>3.4657359027997265</v>
      </c>
      <c r="R30" s="5">
        <f t="shared" si="4"/>
        <v>0.69314718055994529</v>
      </c>
      <c r="S30" s="5">
        <f t="shared" si="5"/>
        <v>3.125E-2</v>
      </c>
      <c r="T30" s="3">
        <f t="shared" si="6"/>
        <v>0</v>
      </c>
      <c r="U30" s="3" t="s">
        <v>96</v>
      </c>
      <c r="V30" s="3">
        <v>3</v>
      </c>
      <c r="W30" s="6"/>
      <c r="X30" s="4">
        <v>12</v>
      </c>
      <c r="Y30" s="5">
        <v>0.25</v>
      </c>
      <c r="Z30" s="5">
        <v>0.8</v>
      </c>
      <c r="AA30" s="3" t="s">
        <v>88</v>
      </c>
      <c r="AB30" s="3">
        <v>0</v>
      </c>
      <c r="AC30" s="3" t="s">
        <v>81</v>
      </c>
      <c r="AD30" s="3">
        <v>0</v>
      </c>
      <c r="AE30" s="3" t="s">
        <v>98</v>
      </c>
      <c r="AF30" s="3">
        <v>0</v>
      </c>
      <c r="AG30" s="3" t="s">
        <v>98</v>
      </c>
      <c r="AH30" s="3">
        <v>0</v>
      </c>
      <c r="AI30" s="3">
        <v>1</v>
      </c>
      <c r="AJ30" s="3">
        <v>1</v>
      </c>
      <c r="AK30" s="3">
        <v>1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1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1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7"/>
      <c r="BX30" s="7" t="s">
        <v>183</v>
      </c>
    </row>
    <row r="31" spans="1:76">
      <c r="A31" s="3" t="s">
        <v>184</v>
      </c>
      <c r="B31" s="3">
        <v>3878</v>
      </c>
      <c r="C31" s="3" t="s">
        <v>185</v>
      </c>
      <c r="D31" s="3">
        <v>1</v>
      </c>
      <c r="E31" s="4">
        <v>84</v>
      </c>
      <c r="F31" s="3" t="s">
        <v>87</v>
      </c>
      <c r="G31" s="3">
        <v>0</v>
      </c>
      <c r="H31" s="3">
        <v>0</v>
      </c>
      <c r="I31" s="4">
        <v>184</v>
      </c>
      <c r="J31" s="4">
        <v>65</v>
      </c>
      <c r="K31" s="4">
        <v>249</v>
      </c>
      <c r="L31" s="5">
        <f>IF(F31="F",65.79,IF(F31="M",79.94,""))</f>
        <v>65.790000000000006</v>
      </c>
      <c r="M31" s="3">
        <f t="shared" si="0"/>
        <v>1</v>
      </c>
      <c r="N31" s="3" t="str">
        <f t="shared" si="1"/>
        <v>VSC-halitosis</v>
      </c>
      <c r="O31" s="3" t="str">
        <f t="shared" si="2"/>
        <v>Clinical- / VSC+</v>
      </c>
      <c r="P31" s="5">
        <f t="shared" si="3"/>
        <v>5.5174528964647074</v>
      </c>
      <c r="Q31" s="5">
        <f t="shared" si="4"/>
        <v>5.2203558250783244</v>
      </c>
      <c r="R31" s="5">
        <f t="shared" si="4"/>
        <v>4.1896547420264252</v>
      </c>
      <c r="S31" s="5">
        <f t="shared" si="5"/>
        <v>0.26104417670682734</v>
      </c>
      <c r="T31" s="3">
        <f t="shared" si="6"/>
        <v>0</v>
      </c>
      <c r="U31" s="3" t="s">
        <v>96</v>
      </c>
      <c r="V31" s="3">
        <v>3</v>
      </c>
      <c r="W31" s="6">
        <v>7.2</v>
      </c>
      <c r="X31" s="4">
        <v>12</v>
      </c>
      <c r="Y31" s="5">
        <v>0.05</v>
      </c>
      <c r="Z31" s="5">
        <v>0.2</v>
      </c>
      <c r="AA31" s="3" t="s">
        <v>80</v>
      </c>
      <c r="AB31" s="3">
        <v>0</v>
      </c>
      <c r="AC31" s="3" t="s">
        <v>89</v>
      </c>
      <c r="AD31" s="3">
        <v>1</v>
      </c>
      <c r="AE31" s="3" t="s">
        <v>103</v>
      </c>
      <c r="AF31" s="3">
        <v>1</v>
      </c>
      <c r="AG31" s="3" t="s">
        <v>82</v>
      </c>
      <c r="AH31" s="3">
        <v>1</v>
      </c>
      <c r="AI31" s="3">
        <v>2</v>
      </c>
      <c r="AJ31" s="3">
        <v>1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1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1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7" t="s">
        <v>186</v>
      </c>
      <c r="BX31" s="7" t="s">
        <v>187</v>
      </c>
    </row>
    <row r="32" spans="1:76" ht="34">
      <c r="A32" s="3" t="s">
        <v>188</v>
      </c>
      <c r="B32" s="3">
        <v>3527</v>
      </c>
      <c r="C32" s="3" t="s">
        <v>189</v>
      </c>
      <c r="D32" s="3">
        <v>1</v>
      </c>
      <c r="E32" s="4">
        <v>69</v>
      </c>
      <c r="F32" s="3" t="s">
        <v>78</v>
      </c>
      <c r="G32" s="3">
        <v>0</v>
      </c>
      <c r="H32" s="3">
        <v>0</v>
      </c>
      <c r="I32" s="4">
        <v>202</v>
      </c>
      <c r="J32" s="4">
        <v>226</v>
      </c>
      <c r="K32" s="4">
        <v>428</v>
      </c>
      <c r="L32" s="5">
        <f>IF(F32="F",65.79,IF(F32="M",79.94,""))</f>
        <v>79.94</v>
      </c>
      <c r="M32" s="3">
        <f t="shared" si="0"/>
        <v>1</v>
      </c>
      <c r="N32" s="3" t="str">
        <f t="shared" si="1"/>
        <v>VSC-halitosis</v>
      </c>
      <c r="O32" s="3" t="str">
        <f t="shared" si="2"/>
        <v>Clinical- / VSC+</v>
      </c>
      <c r="P32" s="5">
        <f t="shared" si="3"/>
        <v>6.0591231955817966</v>
      </c>
      <c r="Q32" s="5">
        <f t="shared" si="4"/>
        <v>5.3132059790417872</v>
      </c>
      <c r="R32" s="5">
        <f t="shared" si="4"/>
        <v>5.4249500174814029</v>
      </c>
      <c r="S32" s="5">
        <f t="shared" si="5"/>
        <v>0.5280373831775701</v>
      </c>
      <c r="T32" s="3">
        <f t="shared" si="6"/>
        <v>1</v>
      </c>
      <c r="U32" s="3" t="s">
        <v>96</v>
      </c>
      <c r="V32" s="3">
        <v>3</v>
      </c>
      <c r="W32" s="6">
        <v>7.6</v>
      </c>
      <c r="X32" s="4">
        <v>6</v>
      </c>
      <c r="Y32" s="5">
        <v>1</v>
      </c>
      <c r="Z32" s="5">
        <v>1.4</v>
      </c>
      <c r="AA32" s="3" t="s">
        <v>80</v>
      </c>
      <c r="AB32" s="3">
        <v>0</v>
      </c>
      <c r="AC32" s="3" t="s">
        <v>81</v>
      </c>
      <c r="AD32" s="3">
        <v>0</v>
      </c>
      <c r="AE32" s="3" t="s">
        <v>82</v>
      </c>
      <c r="AF32" s="3">
        <v>1</v>
      </c>
      <c r="AG32" s="3" t="s">
        <v>82</v>
      </c>
      <c r="AH32" s="3">
        <v>1</v>
      </c>
      <c r="AI32" s="3">
        <v>3</v>
      </c>
      <c r="AJ32" s="3">
        <v>0</v>
      </c>
      <c r="AK32" s="3">
        <v>0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1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1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7" t="s">
        <v>190</v>
      </c>
      <c r="BX32" s="7" t="s">
        <v>191</v>
      </c>
    </row>
    <row r="33" spans="1:76">
      <c r="A33" s="3" t="s">
        <v>192</v>
      </c>
      <c r="B33" s="3">
        <v>5095</v>
      </c>
      <c r="C33" s="3" t="s">
        <v>193</v>
      </c>
      <c r="D33" s="3">
        <v>1</v>
      </c>
      <c r="E33" s="4">
        <v>53</v>
      </c>
      <c r="F33" s="3" t="s">
        <v>87</v>
      </c>
      <c r="G33" s="3">
        <v>0</v>
      </c>
      <c r="H33" s="3">
        <v>0</v>
      </c>
      <c r="I33" s="4">
        <v>50</v>
      </c>
      <c r="J33" s="4">
        <v>0</v>
      </c>
      <c r="K33" s="4">
        <v>50</v>
      </c>
      <c r="L33" s="5">
        <f>IF(F33="F",65.79,IF(F33="M",79.94,""))</f>
        <v>65.790000000000006</v>
      </c>
      <c r="M33" s="3">
        <f t="shared" si="0"/>
        <v>0</v>
      </c>
      <c r="N33" s="3" t="str">
        <f t="shared" si="1"/>
        <v>VSC-non-halitosis</v>
      </c>
      <c r="O33" s="3" t="str">
        <f t="shared" si="2"/>
        <v>Clinical- / VSC-</v>
      </c>
      <c r="P33" s="5">
        <f t="shared" si="3"/>
        <v>3.912023005428146</v>
      </c>
      <c r="Q33" s="5">
        <f t="shared" si="4"/>
        <v>3.9318256327243257</v>
      </c>
      <c r="R33" s="5">
        <f t="shared" si="4"/>
        <v>0</v>
      </c>
      <c r="S33" s="5">
        <f t="shared" si="5"/>
        <v>0</v>
      </c>
      <c r="T33" s="3">
        <f t="shared" si="6"/>
        <v>0</v>
      </c>
      <c r="U33" s="3" t="s">
        <v>96</v>
      </c>
      <c r="V33" s="3">
        <v>3</v>
      </c>
      <c r="W33" s="6">
        <v>7.4</v>
      </c>
      <c r="X33" s="4">
        <v>9</v>
      </c>
      <c r="Y33" s="5">
        <v>0.6</v>
      </c>
      <c r="Z33" s="5">
        <v>5</v>
      </c>
      <c r="AA33" s="3" t="s">
        <v>88</v>
      </c>
      <c r="AB33" s="3">
        <v>0</v>
      </c>
      <c r="AC33" s="3" t="s">
        <v>81</v>
      </c>
      <c r="AD33" s="3">
        <v>0</v>
      </c>
      <c r="AE33" s="3" t="s">
        <v>82</v>
      </c>
      <c r="AF33" s="3">
        <v>1</v>
      </c>
      <c r="AG33" s="3" t="s">
        <v>98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7"/>
      <c r="BX33" s="7" t="s">
        <v>194</v>
      </c>
    </row>
    <row r="34" spans="1:76">
      <c r="A34" s="3" t="s">
        <v>195</v>
      </c>
      <c r="B34" s="3">
        <v>4503</v>
      </c>
      <c r="C34" s="3" t="s">
        <v>196</v>
      </c>
      <c r="D34" s="3">
        <v>1</v>
      </c>
      <c r="E34" s="4">
        <v>61</v>
      </c>
      <c r="F34" s="3" t="s">
        <v>87</v>
      </c>
      <c r="G34" s="3">
        <v>0</v>
      </c>
      <c r="H34" s="3">
        <v>0</v>
      </c>
      <c r="I34" s="4">
        <v>60</v>
      </c>
      <c r="J34" s="4">
        <v>0</v>
      </c>
      <c r="K34" s="4">
        <v>60</v>
      </c>
      <c r="L34" s="5">
        <f>IF(F34="F",65.79,IF(F34="M",79.94,""))</f>
        <v>65.790000000000006</v>
      </c>
      <c r="M34" s="3">
        <f t="shared" si="0"/>
        <v>0</v>
      </c>
      <c r="N34" s="3" t="str">
        <f t="shared" si="1"/>
        <v>VSC-non-halitosis</v>
      </c>
      <c r="O34" s="3" t="str">
        <f t="shared" si="2"/>
        <v>Clinical- / VSC-</v>
      </c>
      <c r="P34" s="5">
        <f t="shared" si="3"/>
        <v>4.0943445622221004</v>
      </c>
      <c r="Q34" s="5">
        <f t="shared" si="4"/>
        <v>4.1108738641733114</v>
      </c>
      <c r="R34" s="5">
        <f t="shared" si="4"/>
        <v>0</v>
      </c>
      <c r="S34" s="5">
        <f t="shared" si="5"/>
        <v>0</v>
      </c>
      <c r="T34" s="3">
        <f t="shared" si="6"/>
        <v>0</v>
      </c>
      <c r="U34" s="3" t="s">
        <v>96</v>
      </c>
      <c r="V34" s="3">
        <v>3</v>
      </c>
      <c r="W34" s="6">
        <v>6.6</v>
      </c>
      <c r="X34" s="4">
        <v>9</v>
      </c>
      <c r="Y34" s="5">
        <v>0.2</v>
      </c>
      <c r="Z34" s="5">
        <v>1</v>
      </c>
      <c r="AA34" s="3" t="s">
        <v>88</v>
      </c>
      <c r="AB34" s="3">
        <v>0</v>
      </c>
      <c r="AC34" s="3" t="s">
        <v>81</v>
      </c>
      <c r="AD34" s="3">
        <v>0</v>
      </c>
      <c r="AE34" s="3" t="s">
        <v>82</v>
      </c>
      <c r="AF34" s="3">
        <v>1</v>
      </c>
      <c r="AG34" s="3" t="s">
        <v>82</v>
      </c>
      <c r="AH34" s="3">
        <v>1</v>
      </c>
      <c r="AI34" s="3">
        <v>1</v>
      </c>
      <c r="AJ34" s="3">
        <v>1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1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1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7" t="s">
        <v>197</v>
      </c>
      <c r="BX34" s="7" t="s">
        <v>198</v>
      </c>
    </row>
    <row r="35" spans="1:76">
      <c r="A35" s="3" t="s">
        <v>199</v>
      </c>
      <c r="B35" s="3">
        <v>3145</v>
      </c>
      <c r="C35" s="3" t="s">
        <v>200</v>
      </c>
      <c r="D35" s="3">
        <v>1</v>
      </c>
      <c r="E35" s="4">
        <v>69</v>
      </c>
      <c r="F35" s="3" t="s">
        <v>87</v>
      </c>
      <c r="G35" s="3">
        <v>0</v>
      </c>
      <c r="H35" s="3">
        <v>0</v>
      </c>
      <c r="I35" s="4">
        <v>564</v>
      </c>
      <c r="J35" s="4">
        <v>76</v>
      </c>
      <c r="K35" s="4">
        <v>640</v>
      </c>
      <c r="L35" s="5">
        <f>IF(F35="F",65.79,IF(F35="M",79.94,""))</f>
        <v>65.790000000000006</v>
      </c>
      <c r="M35" s="3">
        <f t="shared" si="0"/>
        <v>1</v>
      </c>
      <c r="N35" s="3" t="str">
        <f t="shared" si="1"/>
        <v>VSC-halitosis</v>
      </c>
      <c r="O35" s="3" t="str">
        <f t="shared" si="2"/>
        <v>Clinical- / VSC+</v>
      </c>
      <c r="P35" s="5">
        <f t="shared" si="3"/>
        <v>6.4614681763537174</v>
      </c>
      <c r="Q35" s="5">
        <f t="shared" si="4"/>
        <v>6.3368257311464413</v>
      </c>
      <c r="R35" s="5">
        <f t="shared" si="4"/>
        <v>4.3438054218536841</v>
      </c>
      <c r="S35" s="5">
        <f t="shared" si="5"/>
        <v>0.11874999999999999</v>
      </c>
      <c r="T35" s="3">
        <f t="shared" si="6"/>
        <v>0</v>
      </c>
      <c r="U35" s="3" t="s">
        <v>96</v>
      </c>
      <c r="V35" s="3">
        <v>3</v>
      </c>
      <c r="W35" s="6">
        <v>6.8</v>
      </c>
      <c r="X35" s="4">
        <v>8</v>
      </c>
      <c r="Y35" s="5">
        <v>0.4</v>
      </c>
      <c r="Z35" s="5">
        <v>1.1000000000000001</v>
      </c>
      <c r="AA35" s="3" t="s">
        <v>80</v>
      </c>
      <c r="AB35" s="3">
        <v>0</v>
      </c>
      <c r="AC35" s="3" t="s">
        <v>81</v>
      </c>
      <c r="AD35" s="3">
        <v>0</v>
      </c>
      <c r="AE35" s="3" t="s">
        <v>82</v>
      </c>
      <c r="AF35" s="3">
        <v>1</v>
      </c>
      <c r="AG35" s="3" t="s">
        <v>82</v>
      </c>
      <c r="AH35" s="3">
        <v>1</v>
      </c>
      <c r="AI35" s="3">
        <v>2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0</v>
      </c>
      <c r="AT35" s="3">
        <v>0</v>
      </c>
      <c r="AU35" s="3">
        <v>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7" t="s">
        <v>201</v>
      </c>
      <c r="BX35" s="7" t="s">
        <v>80</v>
      </c>
    </row>
    <row r="36" spans="1:76">
      <c r="A36" s="3" t="s">
        <v>202</v>
      </c>
      <c r="B36" s="3">
        <v>5586</v>
      </c>
      <c r="C36" s="3" t="s">
        <v>203</v>
      </c>
      <c r="D36" s="3">
        <v>1</v>
      </c>
      <c r="E36" s="4">
        <v>71</v>
      </c>
      <c r="F36" s="3" t="s">
        <v>87</v>
      </c>
      <c r="G36" s="3">
        <v>0</v>
      </c>
      <c r="H36" s="3">
        <v>0</v>
      </c>
      <c r="I36" s="4">
        <v>14</v>
      </c>
      <c r="J36" s="4">
        <v>1</v>
      </c>
      <c r="K36" s="4">
        <v>15</v>
      </c>
      <c r="L36" s="5">
        <f>IF(F36="F",65.79,IF(F36="M",79.94,""))</f>
        <v>65.790000000000006</v>
      </c>
      <c r="M36" s="3">
        <f t="shared" si="0"/>
        <v>0</v>
      </c>
      <c r="N36" s="3" t="str">
        <f t="shared" si="1"/>
        <v>VSC-non-halitosis</v>
      </c>
      <c r="O36" s="3" t="str">
        <f t="shared" si="2"/>
        <v>Clinical- / VSC-</v>
      </c>
      <c r="P36" s="5">
        <f t="shared" si="3"/>
        <v>2.7080502011022101</v>
      </c>
      <c r="Q36" s="5">
        <f t="shared" si="4"/>
        <v>2.7080502011022101</v>
      </c>
      <c r="R36" s="5">
        <f t="shared" si="4"/>
        <v>0.69314718055994529</v>
      </c>
      <c r="S36" s="5">
        <f t="shared" si="5"/>
        <v>6.6666666666666666E-2</v>
      </c>
      <c r="T36" s="3">
        <f t="shared" si="6"/>
        <v>0</v>
      </c>
      <c r="U36" s="3" t="s">
        <v>79</v>
      </c>
      <c r="V36" s="3">
        <v>2</v>
      </c>
      <c r="W36" s="6">
        <v>6.5</v>
      </c>
      <c r="X36" s="4">
        <v>12</v>
      </c>
      <c r="Y36" s="5">
        <v>0.2</v>
      </c>
      <c r="Z36" s="5">
        <v>1.4</v>
      </c>
      <c r="AA36" s="3" t="s">
        <v>80</v>
      </c>
      <c r="AB36" s="3">
        <v>0</v>
      </c>
      <c r="AC36" s="3" t="s">
        <v>81</v>
      </c>
      <c r="AD36" s="3">
        <v>0</v>
      </c>
      <c r="AE36" s="3" t="s">
        <v>98</v>
      </c>
      <c r="AF36" s="3">
        <v>0</v>
      </c>
      <c r="AG36" s="3" t="s">
        <v>82</v>
      </c>
      <c r="AH36" s="3">
        <v>1</v>
      </c>
      <c r="AI36" s="3">
        <v>3</v>
      </c>
      <c r="AJ36" s="3">
        <v>1</v>
      </c>
      <c r="AK36" s="3">
        <v>0</v>
      </c>
      <c r="AL36" s="3">
        <v>0</v>
      </c>
      <c r="AM36" s="3">
        <v>0</v>
      </c>
      <c r="AN36" s="3">
        <v>1</v>
      </c>
      <c r="AO36" s="3">
        <v>0</v>
      </c>
      <c r="AP36" s="3">
        <v>0</v>
      </c>
      <c r="AQ36" s="3">
        <v>1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1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1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7" t="s">
        <v>204</v>
      </c>
      <c r="BX36" s="7" t="s">
        <v>205</v>
      </c>
    </row>
    <row r="37" spans="1:76" ht="34">
      <c r="A37" s="3" t="s">
        <v>206</v>
      </c>
      <c r="B37" s="3">
        <v>5013</v>
      </c>
      <c r="C37" s="3" t="s">
        <v>207</v>
      </c>
      <c r="D37" s="3">
        <v>1</v>
      </c>
      <c r="E37" s="4">
        <v>53</v>
      </c>
      <c r="F37" s="3" t="s">
        <v>87</v>
      </c>
      <c r="G37" s="3">
        <v>1</v>
      </c>
      <c r="H37" s="3">
        <v>0</v>
      </c>
      <c r="I37" s="4">
        <v>9</v>
      </c>
      <c r="J37" s="4">
        <v>8</v>
      </c>
      <c r="K37" s="4">
        <v>17</v>
      </c>
      <c r="L37" s="5">
        <f>IF(F37="F",65.79,IF(F37="M",79.94,""))</f>
        <v>65.790000000000006</v>
      </c>
      <c r="M37" s="3">
        <f t="shared" si="0"/>
        <v>0</v>
      </c>
      <c r="N37" s="3" t="str">
        <f t="shared" si="1"/>
        <v>VSC-non-halitosis</v>
      </c>
      <c r="O37" s="3" t="str">
        <f t="shared" si="2"/>
        <v>Clinical+ / VSC-</v>
      </c>
      <c r="P37" s="5">
        <f t="shared" si="3"/>
        <v>2.8332133440562162</v>
      </c>
      <c r="Q37" s="5">
        <f t="shared" si="4"/>
        <v>2.3025850929940459</v>
      </c>
      <c r="R37" s="5">
        <f t="shared" si="4"/>
        <v>2.1972245773362196</v>
      </c>
      <c r="S37" s="5">
        <f t="shared" si="5"/>
        <v>0.47058823529411764</v>
      </c>
      <c r="T37" s="3">
        <f t="shared" si="6"/>
        <v>0</v>
      </c>
      <c r="U37" s="3" t="s">
        <v>79</v>
      </c>
      <c r="V37" s="3">
        <v>2</v>
      </c>
      <c r="W37" s="6">
        <v>6.2</v>
      </c>
      <c r="X37" s="4">
        <v>10</v>
      </c>
      <c r="Y37" s="5">
        <v>0.25</v>
      </c>
      <c r="Z37" s="5">
        <v>1</v>
      </c>
      <c r="AA37" s="3" t="s">
        <v>208</v>
      </c>
      <c r="AB37" s="3">
        <v>1</v>
      </c>
      <c r="AC37" s="3" t="s">
        <v>81</v>
      </c>
      <c r="AD37" s="3">
        <v>0</v>
      </c>
      <c r="AE37" s="3" t="s">
        <v>82</v>
      </c>
      <c r="AF37" s="3">
        <v>1</v>
      </c>
      <c r="AG37" s="3" t="s">
        <v>98</v>
      </c>
      <c r="AH37" s="3">
        <v>0</v>
      </c>
      <c r="AI37" s="3">
        <v>2</v>
      </c>
      <c r="AJ37" s="3">
        <v>1</v>
      </c>
      <c r="AK37" s="3">
        <v>1</v>
      </c>
      <c r="AL37" s="3">
        <v>1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1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7" t="s">
        <v>209</v>
      </c>
      <c r="BX37" s="7" t="s">
        <v>210</v>
      </c>
    </row>
    <row r="38" spans="1:76">
      <c r="A38" s="3" t="s">
        <v>211</v>
      </c>
      <c r="B38" s="3">
        <v>3329</v>
      </c>
      <c r="C38" s="3" t="s">
        <v>212</v>
      </c>
      <c r="D38" s="3">
        <v>1</v>
      </c>
      <c r="E38" s="4">
        <v>74</v>
      </c>
      <c r="F38" s="3" t="s">
        <v>87</v>
      </c>
      <c r="G38" s="3">
        <v>0</v>
      </c>
      <c r="H38" s="3">
        <v>0</v>
      </c>
      <c r="I38" s="4">
        <v>0</v>
      </c>
      <c r="J38" s="4">
        <v>1</v>
      </c>
      <c r="K38" s="4">
        <v>1</v>
      </c>
      <c r="L38" s="5">
        <f>IF(F38="F",65.79,IF(F38="M",79.94,""))</f>
        <v>65.790000000000006</v>
      </c>
      <c r="M38" s="3">
        <f t="shared" si="0"/>
        <v>0</v>
      </c>
      <c r="N38" s="3" t="str">
        <f t="shared" si="1"/>
        <v>VSC-non-halitosis</v>
      </c>
      <c r="O38" s="3" t="str">
        <f t="shared" si="2"/>
        <v>Clinical- / VSC-</v>
      </c>
      <c r="P38" s="5">
        <f t="shared" si="3"/>
        <v>0</v>
      </c>
      <c r="Q38" s="5">
        <f t="shared" si="4"/>
        <v>0</v>
      </c>
      <c r="R38" s="5">
        <f t="shared" si="4"/>
        <v>0.69314718055994529</v>
      </c>
      <c r="S38" s="5">
        <f t="shared" si="5"/>
        <v>1</v>
      </c>
      <c r="T38" s="3">
        <f t="shared" si="6"/>
        <v>1</v>
      </c>
      <c r="U38" s="3" t="s">
        <v>102</v>
      </c>
      <c r="V38" s="3">
        <v>1</v>
      </c>
      <c r="W38" s="6">
        <v>6.4</v>
      </c>
      <c r="X38" s="4">
        <v>9</v>
      </c>
      <c r="Y38" s="5">
        <v>0.5</v>
      </c>
      <c r="Z38" s="5">
        <v>1</v>
      </c>
      <c r="AA38" s="3" t="s">
        <v>80</v>
      </c>
      <c r="AB38" s="3">
        <v>0</v>
      </c>
      <c r="AC38" s="3" t="s">
        <v>113</v>
      </c>
      <c r="AD38" s="3">
        <v>0</v>
      </c>
      <c r="AE38" s="3" t="s">
        <v>98</v>
      </c>
      <c r="AF38" s="3">
        <v>0</v>
      </c>
      <c r="AG38" s="3" t="s">
        <v>98</v>
      </c>
      <c r="AH38" s="3">
        <v>0</v>
      </c>
      <c r="AI38" s="3">
        <v>3</v>
      </c>
      <c r="AJ38" s="3">
        <v>2</v>
      </c>
      <c r="AK38" s="3">
        <v>0</v>
      </c>
      <c r="AL38" s="3">
        <v>1</v>
      </c>
      <c r="AM38" s="3">
        <v>0</v>
      </c>
      <c r="AN38" s="3">
        <v>1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1</v>
      </c>
      <c r="BB38" s="3">
        <v>0</v>
      </c>
      <c r="BC38" s="3">
        <v>0</v>
      </c>
      <c r="BD38" s="3">
        <v>0</v>
      </c>
      <c r="BE38" s="3">
        <v>0</v>
      </c>
      <c r="BF38" s="3">
        <v>1</v>
      </c>
      <c r="BG38" s="3">
        <v>0</v>
      </c>
      <c r="BH38" s="3">
        <v>0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7" t="s">
        <v>186</v>
      </c>
      <c r="BX38" s="7" t="s">
        <v>213</v>
      </c>
    </row>
    <row r="39" spans="1:76">
      <c r="A39" s="3" t="s">
        <v>214</v>
      </c>
      <c r="B39" s="3">
        <v>2870</v>
      </c>
      <c r="C39" s="3" t="s">
        <v>215</v>
      </c>
      <c r="D39" s="3">
        <v>1</v>
      </c>
      <c r="E39" s="4">
        <v>63</v>
      </c>
      <c r="F39" s="3" t="s">
        <v>87</v>
      </c>
      <c r="G39" s="3">
        <v>0</v>
      </c>
      <c r="H39" s="3">
        <v>0</v>
      </c>
      <c r="I39" s="4">
        <v>5</v>
      </c>
      <c r="J39" s="4">
        <v>3</v>
      </c>
      <c r="K39" s="4">
        <v>8</v>
      </c>
      <c r="L39" s="5">
        <f>IF(F39="F",65.79,IF(F39="M",79.94,""))</f>
        <v>65.790000000000006</v>
      </c>
      <c r="M39" s="3">
        <f t="shared" si="0"/>
        <v>0</v>
      </c>
      <c r="N39" s="3" t="str">
        <f t="shared" si="1"/>
        <v>VSC-non-halitosis</v>
      </c>
      <c r="O39" s="3" t="str">
        <f t="shared" si="2"/>
        <v>Clinical- / VSC-</v>
      </c>
      <c r="P39" s="5">
        <f t="shared" si="3"/>
        <v>2.0794415416798357</v>
      </c>
      <c r="Q39" s="5">
        <f t="shared" si="4"/>
        <v>1.791759469228055</v>
      </c>
      <c r="R39" s="5">
        <f t="shared" si="4"/>
        <v>1.3862943611198906</v>
      </c>
      <c r="S39" s="5">
        <f t="shared" si="5"/>
        <v>0.375</v>
      </c>
      <c r="T39" s="3">
        <f t="shared" si="6"/>
        <v>0</v>
      </c>
      <c r="U39" s="3" t="s">
        <v>79</v>
      </c>
      <c r="V39" s="3">
        <v>2</v>
      </c>
      <c r="W39" s="6"/>
      <c r="X39" s="4">
        <v>12</v>
      </c>
      <c r="Y39" s="5">
        <v>0.75</v>
      </c>
      <c r="Z39" s="5">
        <v>1.8</v>
      </c>
      <c r="AA39" s="3" t="s">
        <v>80</v>
      </c>
      <c r="AB39" s="3">
        <v>0</v>
      </c>
      <c r="AC39" s="3" t="s">
        <v>81</v>
      </c>
      <c r="AD39" s="3">
        <v>0</v>
      </c>
      <c r="AE39" s="3" t="s">
        <v>82</v>
      </c>
      <c r="AF39" s="3">
        <v>1</v>
      </c>
      <c r="AG39" s="3" t="s">
        <v>108</v>
      </c>
      <c r="AH39" s="3">
        <v>1</v>
      </c>
      <c r="AI39" s="3">
        <v>1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7" t="s">
        <v>216</v>
      </c>
      <c r="BX39" s="7" t="s">
        <v>119</v>
      </c>
    </row>
    <row r="40" spans="1:76">
      <c r="A40" s="3" t="s">
        <v>217</v>
      </c>
      <c r="B40" s="3">
        <v>3419</v>
      </c>
      <c r="C40" s="3" t="s">
        <v>218</v>
      </c>
      <c r="D40" s="3">
        <v>1</v>
      </c>
      <c r="E40" s="4">
        <v>70</v>
      </c>
      <c r="F40" s="3" t="s">
        <v>87</v>
      </c>
      <c r="G40" s="3">
        <v>0</v>
      </c>
      <c r="H40" s="3">
        <v>0</v>
      </c>
      <c r="I40" s="4">
        <v>126</v>
      </c>
      <c r="J40" s="4">
        <v>73</v>
      </c>
      <c r="K40" s="4">
        <v>199</v>
      </c>
      <c r="L40" s="5">
        <f>IF(F40="F",65.79,IF(F40="M",79.94,""))</f>
        <v>65.790000000000006</v>
      </c>
      <c r="M40" s="3">
        <f t="shared" si="0"/>
        <v>1</v>
      </c>
      <c r="N40" s="3" t="str">
        <f t="shared" si="1"/>
        <v>VSC-halitosis</v>
      </c>
      <c r="O40" s="3" t="str">
        <f t="shared" si="2"/>
        <v>Clinical- / VSC+</v>
      </c>
      <c r="P40" s="5">
        <f t="shared" si="3"/>
        <v>5.2933048247244923</v>
      </c>
      <c r="Q40" s="5">
        <f t="shared" si="4"/>
        <v>4.8441870864585912</v>
      </c>
      <c r="R40" s="5">
        <f t="shared" si="4"/>
        <v>4.3040650932041702</v>
      </c>
      <c r="S40" s="5">
        <f t="shared" si="5"/>
        <v>0.36683417085427134</v>
      </c>
      <c r="T40" s="3">
        <f t="shared" si="6"/>
        <v>0</v>
      </c>
      <c r="U40" s="3" t="s">
        <v>96</v>
      </c>
      <c r="V40" s="3">
        <v>3</v>
      </c>
      <c r="W40" s="6">
        <v>7</v>
      </c>
      <c r="X40" s="4">
        <v>12</v>
      </c>
      <c r="Y40" s="5">
        <v>0.2</v>
      </c>
      <c r="Z40" s="5">
        <v>0.8</v>
      </c>
      <c r="AA40" s="3" t="s">
        <v>80</v>
      </c>
      <c r="AB40" s="3">
        <v>0</v>
      </c>
      <c r="AC40" s="3" t="s">
        <v>81</v>
      </c>
      <c r="AD40" s="3">
        <v>0</v>
      </c>
      <c r="AE40" s="3" t="s">
        <v>98</v>
      </c>
      <c r="AF40" s="3">
        <v>0</v>
      </c>
      <c r="AG40" s="3" t="s">
        <v>98</v>
      </c>
      <c r="AH40" s="3">
        <v>0</v>
      </c>
      <c r="AI40" s="3">
        <v>1</v>
      </c>
      <c r="AJ40" s="3">
        <v>0</v>
      </c>
      <c r="AK40" s="3">
        <v>0</v>
      </c>
      <c r="AL40" s="3">
        <v>0</v>
      </c>
      <c r="AM40" s="3">
        <v>1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7" t="s">
        <v>219</v>
      </c>
      <c r="BX40" s="7" t="s">
        <v>220</v>
      </c>
    </row>
    <row r="41" spans="1:76">
      <c r="A41" s="3" t="s">
        <v>221</v>
      </c>
      <c r="B41" s="3">
        <v>6766</v>
      </c>
      <c r="C41" s="3" t="s">
        <v>222</v>
      </c>
      <c r="D41" s="3">
        <v>1</v>
      </c>
      <c r="E41" s="4">
        <v>61</v>
      </c>
      <c r="F41" s="3" t="s">
        <v>78</v>
      </c>
      <c r="G41" s="3">
        <v>0</v>
      </c>
      <c r="H41" s="3">
        <v>0</v>
      </c>
      <c r="I41" s="4">
        <v>0</v>
      </c>
      <c r="J41" s="4">
        <v>1</v>
      </c>
      <c r="K41" s="4">
        <v>1</v>
      </c>
      <c r="L41" s="5">
        <f>IF(F41="F",65.79,IF(F41="M",79.94,""))</f>
        <v>79.94</v>
      </c>
      <c r="M41" s="3">
        <f t="shared" si="0"/>
        <v>0</v>
      </c>
      <c r="N41" s="3" t="str">
        <f t="shared" si="1"/>
        <v>VSC-non-halitosis</v>
      </c>
      <c r="O41" s="3" t="str">
        <f t="shared" si="2"/>
        <v>Clinical- / VSC-</v>
      </c>
      <c r="P41" s="5">
        <f t="shared" si="3"/>
        <v>0</v>
      </c>
      <c r="Q41" s="5">
        <f t="shared" si="4"/>
        <v>0</v>
      </c>
      <c r="R41" s="5">
        <f t="shared" si="4"/>
        <v>0.69314718055994529</v>
      </c>
      <c r="S41" s="5">
        <f t="shared" si="5"/>
        <v>1</v>
      </c>
      <c r="T41" s="3">
        <f t="shared" si="6"/>
        <v>1</v>
      </c>
      <c r="U41" s="3" t="s">
        <v>102</v>
      </c>
      <c r="V41" s="3">
        <v>1</v>
      </c>
      <c r="W41" s="6">
        <v>6</v>
      </c>
      <c r="X41" s="4">
        <v>10</v>
      </c>
      <c r="Y41" s="5">
        <v>0.25</v>
      </c>
      <c r="Z41" s="5">
        <v>0.9</v>
      </c>
      <c r="AA41" s="3" t="s">
        <v>80</v>
      </c>
      <c r="AB41" s="3">
        <v>0</v>
      </c>
      <c r="AC41" s="3" t="s">
        <v>81</v>
      </c>
      <c r="AD41" s="3">
        <v>0</v>
      </c>
      <c r="AE41" s="3" t="s">
        <v>98</v>
      </c>
      <c r="AF41" s="3">
        <v>0</v>
      </c>
      <c r="AG41" s="3" t="s">
        <v>98</v>
      </c>
      <c r="AH41" s="3">
        <v>0</v>
      </c>
      <c r="AI41" s="3">
        <v>0</v>
      </c>
      <c r="AJ41" s="3">
        <v>1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1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7" t="s">
        <v>80</v>
      </c>
      <c r="BX41" s="7" t="s">
        <v>223</v>
      </c>
    </row>
    <row r="42" spans="1:76">
      <c r="A42" s="3" t="s">
        <v>224</v>
      </c>
      <c r="B42" s="3">
        <v>4841</v>
      </c>
      <c r="C42" s="3" t="s">
        <v>225</v>
      </c>
      <c r="D42" s="3">
        <v>1</v>
      </c>
      <c r="E42" s="4">
        <v>77</v>
      </c>
      <c r="F42" s="3" t="s">
        <v>87</v>
      </c>
      <c r="G42" s="3">
        <v>0</v>
      </c>
      <c r="H42" s="3">
        <v>1</v>
      </c>
      <c r="I42" s="4">
        <v>1</v>
      </c>
      <c r="J42" s="4">
        <v>0</v>
      </c>
      <c r="K42" s="4">
        <v>1</v>
      </c>
      <c r="L42" s="5">
        <f>IF(F42="F",65.79,IF(F42="M",79.94,""))</f>
        <v>65.790000000000006</v>
      </c>
      <c r="M42" s="3">
        <f t="shared" si="0"/>
        <v>0</v>
      </c>
      <c r="N42" s="3" t="str">
        <f t="shared" si="1"/>
        <v>VSC-non-halitosis</v>
      </c>
      <c r="O42" s="3" t="str">
        <f t="shared" si="2"/>
        <v>Clinical- / VSC-</v>
      </c>
      <c r="P42" s="5">
        <f t="shared" si="3"/>
        <v>0</v>
      </c>
      <c r="Q42" s="5">
        <f t="shared" si="4"/>
        <v>0.69314718055994529</v>
      </c>
      <c r="R42" s="5">
        <f t="shared" si="4"/>
        <v>0</v>
      </c>
      <c r="S42" s="5">
        <f t="shared" si="5"/>
        <v>0</v>
      </c>
      <c r="T42" s="3">
        <f t="shared" si="6"/>
        <v>0</v>
      </c>
      <c r="U42" s="3" t="s">
        <v>102</v>
      </c>
      <c r="V42" s="3">
        <v>1</v>
      </c>
      <c r="W42" s="6"/>
      <c r="X42" s="4">
        <v>7</v>
      </c>
      <c r="Y42" s="5">
        <v>0.45</v>
      </c>
      <c r="Z42" s="5">
        <v>1.5</v>
      </c>
      <c r="AA42" s="3" t="s">
        <v>80</v>
      </c>
      <c r="AB42" s="3">
        <v>0</v>
      </c>
      <c r="AC42" s="3" t="s">
        <v>81</v>
      </c>
      <c r="AD42" s="3">
        <v>0</v>
      </c>
      <c r="AE42" s="3" t="s">
        <v>82</v>
      </c>
      <c r="AF42" s="3">
        <v>1</v>
      </c>
      <c r="AG42" s="3" t="s">
        <v>82</v>
      </c>
      <c r="AH42" s="3">
        <v>1</v>
      </c>
      <c r="AI42" s="3">
        <v>1</v>
      </c>
      <c r="AJ42" s="3">
        <v>0</v>
      </c>
      <c r="AK42" s="3">
        <v>0</v>
      </c>
      <c r="AL42" s="3">
        <v>1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7" t="s">
        <v>186</v>
      </c>
      <c r="BX42" s="7" t="s">
        <v>80</v>
      </c>
    </row>
    <row r="43" spans="1:76">
      <c r="A43" s="3" t="s">
        <v>226</v>
      </c>
      <c r="B43" s="3">
        <v>4031</v>
      </c>
      <c r="C43" s="3" t="s">
        <v>227</v>
      </c>
      <c r="D43" s="3">
        <v>1</v>
      </c>
      <c r="E43" s="4">
        <v>59</v>
      </c>
      <c r="F43" s="3" t="s">
        <v>87</v>
      </c>
      <c r="G43" s="3">
        <v>0</v>
      </c>
      <c r="H43" s="3">
        <v>0</v>
      </c>
      <c r="I43" s="4">
        <v>2</v>
      </c>
      <c r="J43" s="4">
        <v>0</v>
      </c>
      <c r="K43" s="4">
        <v>2</v>
      </c>
      <c r="L43" s="5">
        <f>IF(F43="F",65.79,IF(F43="M",79.94,""))</f>
        <v>65.790000000000006</v>
      </c>
      <c r="M43" s="3">
        <f t="shared" si="0"/>
        <v>0</v>
      </c>
      <c r="N43" s="3" t="str">
        <f t="shared" si="1"/>
        <v>VSC-non-halitosis</v>
      </c>
      <c r="O43" s="3" t="str">
        <f t="shared" si="2"/>
        <v>Clinical- / VSC-</v>
      </c>
      <c r="P43" s="5">
        <f t="shared" si="3"/>
        <v>0.69314718055994529</v>
      </c>
      <c r="Q43" s="5">
        <f t="shared" si="4"/>
        <v>1.0986122886681098</v>
      </c>
      <c r="R43" s="5">
        <f t="shared" si="4"/>
        <v>0</v>
      </c>
      <c r="S43" s="5">
        <f t="shared" si="5"/>
        <v>0</v>
      </c>
      <c r="T43" s="3">
        <f t="shared" si="6"/>
        <v>0</v>
      </c>
      <c r="U43" s="3" t="s">
        <v>102</v>
      </c>
      <c r="V43" s="3">
        <v>1</v>
      </c>
      <c r="W43" s="6">
        <v>6.2</v>
      </c>
      <c r="X43" s="4">
        <v>12</v>
      </c>
      <c r="Y43" s="5">
        <v>0.25</v>
      </c>
      <c r="Z43" s="5">
        <v>0.9</v>
      </c>
      <c r="AA43" s="3" t="s">
        <v>88</v>
      </c>
      <c r="AB43" s="3">
        <v>0</v>
      </c>
      <c r="AC43" s="3" t="s">
        <v>81</v>
      </c>
      <c r="AD43" s="3">
        <v>0</v>
      </c>
      <c r="AE43" s="3" t="s">
        <v>82</v>
      </c>
      <c r="AF43" s="3">
        <v>1</v>
      </c>
      <c r="AG43" s="3" t="s">
        <v>82</v>
      </c>
      <c r="AH43" s="3">
        <v>1</v>
      </c>
      <c r="AI43" s="3">
        <v>1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7" t="s">
        <v>219</v>
      </c>
      <c r="BX43" s="7"/>
    </row>
    <row r="44" spans="1:76">
      <c r="A44" s="3" t="s">
        <v>228</v>
      </c>
      <c r="B44" s="3">
        <v>3367</v>
      </c>
      <c r="C44" s="3" t="s">
        <v>229</v>
      </c>
      <c r="D44" s="3">
        <v>8</v>
      </c>
      <c r="E44" s="4">
        <v>22</v>
      </c>
      <c r="F44" s="3" t="s">
        <v>87</v>
      </c>
      <c r="G44" s="3">
        <v>0</v>
      </c>
      <c r="H44" s="3">
        <v>0</v>
      </c>
      <c r="I44" s="4">
        <v>0</v>
      </c>
      <c r="J44" s="4">
        <v>2</v>
      </c>
      <c r="K44" s="4">
        <v>2</v>
      </c>
      <c r="L44" s="5">
        <f>IF(F44="F",65.79,IF(F44="M",79.94,""))</f>
        <v>65.790000000000006</v>
      </c>
      <c r="M44" s="3">
        <f t="shared" si="0"/>
        <v>0</v>
      </c>
      <c r="N44" s="3" t="str">
        <f t="shared" si="1"/>
        <v>VSC-non-halitosis</v>
      </c>
      <c r="O44" s="3" t="str">
        <f t="shared" si="2"/>
        <v>Clinical- / VSC-</v>
      </c>
      <c r="P44" s="5">
        <f t="shared" si="3"/>
        <v>0.69314718055994529</v>
      </c>
      <c r="Q44" s="5">
        <f t="shared" si="4"/>
        <v>0</v>
      </c>
      <c r="R44" s="5">
        <f t="shared" si="4"/>
        <v>1.0986122886681098</v>
      </c>
      <c r="S44" s="5">
        <f t="shared" si="5"/>
        <v>1</v>
      </c>
      <c r="T44" s="3">
        <f t="shared" si="6"/>
        <v>1</v>
      </c>
      <c r="U44" s="3" t="s">
        <v>102</v>
      </c>
      <c r="V44" s="3">
        <v>1</v>
      </c>
      <c r="W44" s="6">
        <v>7.8</v>
      </c>
      <c r="X44" s="4">
        <v>12</v>
      </c>
      <c r="Y44" s="5">
        <v>1</v>
      </c>
      <c r="Z44" s="5">
        <v>1</v>
      </c>
      <c r="AA44" s="3" t="s">
        <v>80</v>
      </c>
      <c r="AB44" s="3">
        <v>0</v>
      </c>
      <c r="AC44" s="3" t="s">
        <v>81</v>
      </c>
      <c r="AD44" s="3">
        <v>0</v>
      </c>
      <c r="AE44" s="3" t="s">
        <v>82</v>
      </c>
      <c r="AF44" s="3">
        <v>1</v>
      </c>
      <c r="AG44" s="3" t="s">
        <v>82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7" t="s">
        <v>119</v>
      </c>
      <c r="BX44" s="7" t="s">
        <v>119</v>
      </c>
    </row>
    <row r="45" spans="1:76">
      <c r="A45" s="3" t="s">
        <v>230</v>
      </c>
      <c r="B45" s="3">
        <v>4947</v>
      </c>
      <c r="C45" s="3" t="s">
        <v>229</v>
      </c>
      <c r="D45" s="3">
        <v>8</v>
      </c>
      <c r="E45" s="4">
        <v>22</v>
      </c>
      <c r="F45" s="3" t="s">
        <v>87</v>
      </c>
      <c r="G45" s="3">
        <v>0</v>
      </c>
      <c r="H45" s="3">
        <v>0</v>
      </c>
      <c r="I45" s="4">
        <v>0</v>
      </c>
      <c r="J45" s="4">
        <v>2</v>
      </c>
      <c r="K45" s="4">
        <v>2</v>
      </c>
      <c r="L45" s="5">
        <f>IF(F45="F",65.79,IF(F45="M",79.94,""))</f>
        <v>65.790000000000006</v>
      </c>
      <c r="M45" s="3">
        <f t="shared" si="0"/>
        <v>0</v>
      </c>
      <c r="N45" s="3" t="str">
        <f t="shared" si="1"/>
        <v>VSC-non-halitosis</v>
      </c>
      <c r="O45" s="3" t="str">
        <f t="shared" si="2"/>
        <v>Clinical- / VSC-</v>
      </c>
      <c r="P45" s="5">
        <f t="shared" si="3"/>
        <v>0.69314718055994529</v>
      </c>
      <c r="Q45" s="5">
        <f t="shared" si="4"/>
        <v>0</v>
      </c>
      <c r="R45" s="5">
        <f t="shared" si="4"/>
        <v>1.0986122886681098</v>
      </c>
      <c r="S45" s="5">
        <f t="shared" si="5"/>
        <v>1</v>
      </c>
      <c r="T45" s="3">
        <f t="shared" si="6"/>
        <v>1</v>
      </c>
      <c r="U45" s="3" t="s">
        <v>102</v>
      </c>
      <c r="V45" s="3">
        <v>1</v>
      </c>
      <c r="W45" s="6">
        <v>7.8</v>
      </c>
      <c r="X45" s="4">
        <v>12</v>
      </c>
      <c r="Y45" s="5">
        <v>1</v>
      </c>
      <c r="Z45" s="5">
        <v>1</v>
      </c>
      <c r="AA45" s="3" t="s">
        <v>80</v>
      </c>
      <c r="AB45" s="3">
        <v>0</v>
      </c>
      <c r="AC45" s="3" t="s">
        <v>81</v>
      </c>
      <c r="AD45" s="3">
        <v>0</v>
      </c>
      <c r="AE45" s="3" t="s">
        <v>82</v>
      </c>
      <c r="AF45" s="3">
        <v>1</v>
      </c>
      <c r="AG45" s="3" t="s">
        <v>98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7" t="s">
        <v>80</v>
      </c>
      <c r="BX45" s="7" t="s">
        <v>80</v>
      </c>
    </row>
    <row r="46" spans="1:76">
      <c r="A46" s="3" t="s">
        <v>231</v>
      </c>
      <c r="B46" s="3">
        <v>3367</v>
      </c>
      <c r="C46" s="3" t="s">
        <v>229</v>
      </c>
      <c r="D46" s="3">
        <v>8</v>
      </c>
      <c r="E46" s="4">
        <v>22</v>
      </c>
      <c r="F46" s="3" t="s">
        <v>87</v>
      </c>
      <c r="G46" s="3">
        <v>0</v>
      </c>
      <c r="H46" s="3">
        <v>0</v>
      </c>
      <c r="I46" s="4">
        <v>0</v>
      </c>
      <c r="J46" s="4">
        <v>2</v>
      </c>
      <c r="K46" s="4">
        <v>2</v>
      </c>
      <c r="L46" s="5">
        <f>IF(F46="F",65.79,IF(F46="M",79.94,""))</f>
        <v>65.790000000000006</v>
      </c>
      <c r="M46" s="3">
        <f t="shared" si="0"/>
        <v>0</v>
      </c>
      <c r="N46" s="3" t="str">
        <f t="shared" si="1"/>
        <v>VSC-non-halitosis</v>
      </c>
      <c r="O46" s="3" t="str">
        <f t="shared" si="2"/>
        <v>Clinical- / VSC-</v>
      </c>
      <c r="P46" s="5">
        <f t="shared" si="3"/>
        <v>0.69314718055994529</v>
      </c>
      <c r="Q46" s="5">
        <f t="shared" si="4"/>
        <v>0</v>
      </c>
      <c r="R46" s="5">
        <f t="shared" si="4"/>
        <v>1.0986122886681098</v>
      </c>
      <c r="S46" s="5">
        <f t="shared" si="5"/>
        <v>1</v>
      </c>
      <c r="T46" s="3">
        <f t="shared" si="6"/>
        <v>1</v>
      </c>
      <c r="U46" s="3" t="s">
        <v>102</v>
      </c>
      <c r="V46" s="3">
        <v>1</v>
      </c>
      <c r="W46" s="6">
        <v>7.8</v>
      </c>
      <c r="X46" s="4">
        <v>10</v>
      </c>
      <c r="Y46" s="5">
        <v>1</v>
      </c>
      <c r="Z46" s="5">
        <v>2</v>
      </c>
      <c r="AA46" s="3" t="s">
        <v>80</v>
      </c>
      <c r="AB46" s="3">
        <v>0</v>
      </c>
      <c r="AC46" s="3" t="s">
        <v>81</v>
      </c>
      <c r="AD46" s="3">
        <v>0</v>
      </c>
      <c r="AE46" s="3" t="s">
        <v>82</v>
      </c>
      <c r="AF46" s="3">
        <v>1</v>
      </c>
      <c r="AG46" s="3" t="s">
        <v>82</v>
      </c>
      <c r="AH46" s="3">
        <v>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7" t="s">
        <v>119</v>
      </c>
      <c r="BX46" s="7" t="s">
        <v>119</v>
      </c>
    </row>
    <row r="47" spans="1:76">
      <c r="A47" s="3" t="s">
        <v>232</v>
      </c>
      <c r="B47" s="3">
        <v>4947</v>
      </c>
      <c r="C47" s="3" t="s">
        <v>229</v>
      </c>
      <c r="D47" s="3">
        <v>8</v>
      </c>
      <c r="E47" s="4">
        <v>22</v>
      </c>
      <c r="F47" s="3" t="s">
        <v>87</v>
      </c>
      <c r="G47" s="3">
        <v>0</v>
      </c>
      <c r="H47" s="3">
        <v>0</v>
      </c>
      <c r="I47" s="4">
        <v>0</v>
      </c>
      <c r="J47" s="4">
        <v>2</v>
      </c>
      <c r="K47" s="4">
        <v>2</v>
      </c>
      <c r="L47" s="5">
        <f>IF(F47="F",65.79,IF(F47="M",79.94,""))</f>
        <v>65.790000000000006</v>
      </c>
      <c r="M47" s="3">
        <f t="shared" si="0"/>
        <v>0</v>
      </c>
      <c r="N47" s="3" t="str">
        <f t="shared" si="1"/>
        <v>VSC-non-halitosis</v>
      </c>
      <c r="O47" s="3" t="str">
        <f t="shared" si="2"/>
        <v>Clinical- / VSC-</v>
      </c>
      <c r="P47" s="5">
        <f t="shared" si="3"/>
        <v>0.69314718055994529</v>
      </c>
      <c r="Q47" s="5">
        <f t="shared" si="4"/>
        <v>0</v>
      </c>
      <c r="R47" s="5">
        <f t="shared" si="4"/>
        <v>1.0986122886681098</v>
      </c>
      <c r="S47" s="5">
        <f t="shared" si="5"/>
        <v>1</v>
      </c>
      <c r="T47" s="3">
        <f t="shared" si="6"/>
        <v>1</v>
      </c>
      <c r="U47" s="3" t="s">
        <v>102</v>
      </c>
      <c r="V47" s="3">
        <v>1</v>
      </c>
      <c r="W47" s="6">
        <v>7.8</v>
      </c>
      <c r="X47" s="4">
        <v>10</v>
      </c>
      <c r="Y47" s="5">
        <v>1</v>
      </c>
      <c r="Z47" s="5">
        <v>2</v>
      </c>
      <c r="AA47" s="3" t="s">
        <v>80</v>
      </c>
      <c r="AB47" s="3">
        <v>0</v>
      </c>
      <c r="AC47" s="3" t="s">
        <v>81</v>
      </c>
      <c r="AD47" s="3">
        <v>0</v>
      </c>
      <c r="AE47" s="3" t="s">
        <v>82</v>
      </c>
      <c r="AF47" s="3">
        <v>1</v>
      </c>
      <c r="AG47" s="3" t="s">
        <v>98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7" t="s">
        <v>80</v>
      </c>
      <c r="BX47" s="7" t="s">
        <v>80</v>
      </c>
    </row>
    <row r="48" spans="1:76">
      <c r="A48" s="3" t="s">
        <v>233</v>
      </c>
      <c r="B48" s="3">
        <v>3367</v>
      </c>
      <c r="C48" s="3" t="s">
        <v>229</v>
      </c>
      <c r="D48" s="3">
        <v>8</v>
      </c>
      <c r="E48" s="4">
        <v>23</v>
      </c>
      <c r="F48" s="3" t="s">
        <v>87</v>
      </c>
      <c r="G48" s="3">
        <v>0</v>
      </c>
      <c r="H48" s="3">
        <v>0</v>
      </c>
      <c r="I48" s="4">
        <v>269</v>
      </c>
      <c r="J48" s="4">
        <v>8</v>
      </c>
      <c r="K48" s="4">
        <v>277</v>
      </c>
      <c r="L48" s="5">
        <f>IF(F48="F",65.79,IF(F48="M",79.94,""))</f>
        <v>65.790000000000006</v>
      </c>
      <c r="M48" s="3">
        <f t="shared" si="0"/>
        <v>1</v>
      </c>
      <c r="N48" s="3" t="str">
        <f t="shared" si="1"/>
        <v>VSC-halitosis</v>
      </c>
      <c r="O48" s="3" t="str">
        <f t="shared" si="2"/>
        <v>Clinical- / VSC+</v>
      </c>
      <c r="P48" s="5">
        <f t="shared" si="3"/>
        <v>5.6240175061873385</v>
      </c>
      <c r="Q48" s="5">
        <f t="shared" si="4"/>
        <v>5.598421958998375</v>
      </c>
      <c r="R48" s="5">
        <f t="shared" si="4"/>
        <v>2.1972245773362196</v>
      </c>
      <c r="S48" s="5">
        <f t="shared" si="5"/>
        <v>2.8880866425992781E-2</v>
      </c>
      <c r="T48" s="3">
        <f t="shared" si="6"/>
        <v>0</v>
      </c>
      <c r="U48" s="3" t="s">
        <v>96</v>
      </c>
      <c r="V48" s="3">
        <v>3</v>
      </c>
      <c r="W48" s="6">
        <v>7.8</v>
      </c>
      <c r="X48" s="4">
        <v>12</v>
      </c>
      <c r="Y48" s="5">
        <v>1</v>
      </c>
      <c r="Z48" s="5">
        <v>1</v>
      </c>
      <c r="AA48" s="3" t="s">
        <v>80</v>
      </c>
      <c r="AB48" s="3">
        <v>0</v>
      </c>
      <c r="AC48" s="3" t="s">
        <v>81</v>
      </c>
      <c r="AD48" s="3">
        <v>0</v>
      </c>
      <c r="AE48" s="3" t="s">
        <v>82</v>
      </c>
      <c r="AF48" s="3">
        <v>1</v>
      </c>
      <c r="AG48" s="3" t="s">
        <v>82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7" t="s">
        <v>119</v>
      </c>
      <c r="BX48" s="7" t="s">
        <v>119</v>
      </c>
    </row>
    <row r="49" spans="1:76">
      <c r="A49" s="3" t="s">
        <v>234</v>
      </c>
      <c r="B49" s="3">
        <v>4947</v>
      </c>
      <c r="C49" s="3" t="s">
        <v>229</v>
      </c>
      <c r="D49" s="3">
        <v>8</v>
      </c>
      <c r="E49" s="4">
        <v>23</v>
      </c>
      <c r="F49" s="3" t="s">
        <v>87</v>
      </c>
      <c r="G49" s="3">
        <v>0</v>
      </c>
      <c r="H49" s="3">
        <v>0</v>
      </c>
      <c r="I49" s="4">
        <v>269</v>
      </c>
      <c r="J49" s="4">
        <v>8</v>
      </c>
      <c r="K49" s="4">
        <v>277</v>
      </c>
      <c r="L49" s="5">
        <f>IF(F49="F",65.79,IF(F49="M",79.94,""))</f>
        <v>65.790000000000006</v>
      </c>
      <c r="M49" s="3">
        <f t="shared" si="0"/>
        <v>1</v>
      </c>
      <c r="N49" s="3" t="str">
        <f t="shared" si="1"/>
        <v>VSC-halitosis</v>
      </c>
      <c r="O49" s="3" t="str">
        <f t="shared" si="2"/>
        <v>Clinical- / VSC+</v>
      </c>
      <c r="P49" s="5">
        <f t="shared" si="3"/>
        <v>5.6240175061873385</v>
      </c>
      <c r="Q49" s="5">
        <f t="shared" si="4"/>
        <v>5.598421958998375</v>
      </c>
      <c r="R49" s="5">
        <f t="shared" si="4"/>
        <v>2.1972245773362196</v>
      </c>
      <c r="S49" s="5">
        <f t="shared" si="5"/>
        <v>2.8880866425992781E-2</v>
      </c>
      <c r="T49" s="3">
        <f t="shared" si="6"/>
        <v>0</v>
      </c>
      <c r="U49" s="3" t="s">
        <v>96</v>
      </c>
      <c r="V49" s="3">
        <v>3</v>
      </c>
      <c r="W49" s="6">
        <v>7.8</v>
      </c>
      <c r="X49" s="4">
        <v>12</v>
      </c>
      <c r="Y49" s="5">
        <v>1</v>
      </c>
      <c r="Z49" s="5">
        <v>1</v>
      </c>
      <c r="AA49" s="3" t="s">
        <v>80</v>
      </c>
      <c r="AB49" s="3">
        <v>0</v>
      </c>
      <c r="AC49" s="3" t="s">
        <v>81</v>
      </c>
      <c r="AD49" s="3">
        <v>0</v>
      </c>
      <c r="AE49" s="3" t="s">
        <v>82</v>
      </c>
      <c r="AF49" s="3">
        <v>1</v>
      </c>
      <c r="AG49" s="3" t="s">
        <v>98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7" t="s">
        <v>80</v>
      </c>
      <c r="BX49" s="7" t="s">
        <v>80</v>
      </c>
    </row>
    <row r="50" spans="1:76">
      <c r="A50" s="3" t="s">
        <v>235</v>
      </c>
      <c r="B50" s="3">
        <v>3367</v>
      </c>
      <c r="C50" s="3" t="s">
        <v>229</v>
      </c>
      <c r="D50" s="3">
        <v>8</v>
      </c>
      <c r="E50" s="4">
        <v>23</v>
      </c>
      <c r="F50" s="3" t="s">
        <v>87</v>
      </c>
      <c r="G50" s="3">
        <v>0</v>
      </c>
      <c r="H50" s="3">
        <v>0</v>
      </c>
      <c r="I50" s="4">
        <v>269</v>
      </c>
      <c r="J50" s="4">
        <v>8</v>
      </c>
      <c r="K50" s="4">
        <v>277</v>
      </c>
      <c r="L50" s="5">
        <f>IF(F50="F",65.79,IF(F50="M",79.94,""))</f>
        <v>65.790000000000006</v>
      </c>
      <c r="M50" s="3">
        <f t="shared" si="0"/>
        <v>1</v>
      </c>
      <c r="N50" s="3" t="str">
        <f t="shared" si="1"/>
        <v>VSC-halitosis</v>
      </c>
      <c r="O50" s="3" t="str">
        <f t="shared" si="2"/>
        <v>Clinical- / VSC+</v>
      </c>
      <c r="P50" s="5">
        <f t="shared" si="3"/>
        <v>5.6240175061873385</v>
      </c>
      <c r="Q50" s="5">
        <f t="shared" si="4"/>
        <v>5.598421958998375</v>
      </c>
      <c r="R50" s="5">
        <f t="shared" si="4"/>
        <v>2.1972245773362196</v>
      </c>
      <c r="S50" s="5">
        <f t="shared" si="5"/>
        <v>2.8880866425992781E-2</v>
      </c>
      <c r="T50" s="3">
        <f t="shared" si="6"/>
        <v>0</v>
      </c>
      <c r="U50" s="3" t="s">
        <v>96</v>
      </c>
      <c r="V50" s="3">
        <v>3</v>
      </c>
      <c r="W50" s="6">
        <v>7.8</v>
      </c>
      <c r="X50" s="4">
        <v>10</v>
      </c>
      <c r="Y50" s="5">
        <v>1</v>
      </c>
      <c r="Z50" s="5">
        <v>2</v>
      </c>
      <c r="AA50" s="3" t="s">
        <v>80</v>
      </c>
      <c r="AB50" s="3">
        <v>0</v>
      </c>
      <c r="AC50" s="3" t="s">
        <v>81</v>
      </c>
      <c r="AD50" s="3">
        <v>0</v>
      </c>
      <c r="AE50" s="3" t="s">
        <v>82</v>
      </c>
      <c r="AF50" s="3">
        <v>1</v>
      </c>
      <c r="AG50" s="3" t="s">
        <v>82</v>
      </c>
      <c r="AH50" s="3">
        <v>1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7" t="s">
        <v>119</v>
      </c>
      <c r="BX50" s="7" t="s">
        <v>119</v>
      </c>
    </row>
    <row r="51" spans="1:76">
      <c r="A51" s="3" t="s">
        <v>236</v>
      </c>
      <c r="B51" s="3">
        <v>4947</v>
      </c>
      <c r="C51" s="3" t="s">
        <v>229</v>
      </c>
      <c r="D51" s="3">
        <v>8</v>
      </c>
      <c r="E51" s="4">
        <v>23</v>
      </c>
      <c r="F51" s="3" t="s">
        <v>87</v>
      </c>
      <c r="G51" s="3">
        <v>0</v>
      </c>
      <c r="H51" s="3">
        <v>0</v>
      </c>
      <c r="I51" s="4">
        <v>269</v>
      </c>
      <c r="J51" s="4">
        <v>8</v>
      </c>
      <c r="K51" s="4">
        <v>277</v>
      </c>
      <c r="L51" s="5">
        <f>IF(F51="F",65.79,IF(F51="M",79.94,""))</f>
        <v>65.790000000000006</v>
      </c>
      <c r="M51" s="3">
        <f t="shared" si="0"/>
        <v>1</v>
      </c>
      <c r="N51" s="3" t="str">
        <f t="shared" si="1"/>
        <v>VSC-halitosis</v>
      </c>
      <c r="O51" s="3" t="str">
        <f t="shared" si="2"/>
        <v>Clinical- / VSC+</v>
      </c>
      <c r="P51" s="5">
        <f t="shared" si="3"/>
        <v>5.6240175061873385</v>
      </c>
      <c r="Q51" s="5">
        <f t="shared" si="4"/>
        <v>5.598421958998375</v>
      </c>
      <c r="R51" s="5">
        <f t="shared" si="4"/>
        <v>2.1972245773362196</v>
      </c>
      <c r="S51" s="5">
        <f t="shared" si="5"/>
        <v>2.8880866425992781E-2</v>
      </c>
      <c r="T51" s="3">
        <f t="shared" si="6"/>
        <v>0</v>
      </c>
      <c r="U51" s="3" t="s">
        <v>96</v>
      </c>
      <c r="V51" s="3">
        <v>3</v>
      </c>
      <c r="W51" s="6">
        <v>7.8</v>
      </c>
      <c r="X51" s="4">
        <v>10</v>
      </c>
      <c r="Y51" s="5">
        <v>1</v>
      </c>
      <c r="Z51" s="5">
        <v>2</v>
      </c>
      <c r="AA51" s="3" t="s">
        <v>80</v>
      </c>
      <c r="AB51" s="3">
        <v>0</v>
      </c>
      <c r="AC51" s="3" t="s">
        <v>81</v>
      </c>
      <c r="AD51" s="3">
        <v>0</v>
      </c>
      <c r="AE51" s="3" t="s">
        <v>82</v>
      </c>
      <c r="AF51" s="3">
        <v>1</v>
      </c>
      <c r="AG51" s="3" t="s">
        <v>98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7" t="s">
        <v>80</v>
      </c>
      <c r="BX51" s="7" t="s">
        <v>80</v>
      </c>
    </row>
    <row r="52" spans="1:76" ht="34">
      <c r="A52" s="3" t="s">
        <v>237</v>
      </c>
      <c r="B52" s="3">
        <v>6455</v>
      </c>
      <c r="C52" s="3" t="s">
        <v>238</v>
      </c>
      <c r="D52" s="3">
        <v>1</v>
      </c>
      <c r="E52" s="4">
        <v>54</v>
      </c>
      <c r="F52" s="3" t="s">
        <v>87</v>
      </c>
      <c r="G52" s="3">
        <v>0</v>
      </c>
      <c r="H52" s="3">
        <v>1</v>
      </c>
      <c r="I52" s="4">
        <v>1</v>
      </c>
      <c r="J52" s="4">
        <v>1</v>
      </c>
      <c r="K52" s="4">
        <v>2</v>
      </c>
      <c r="L52" s="5">
        <f>IF(F52="F",65.79,IF(F52="M",79.94,""))</f>
        <v>65.790000000000006</v>
      </c>
      <c r="M52" s="3">
        <f t="shared" si="0"/>
        <v>0</v>
      </c>
      <c r="N52" s="3" t="str">
        <f t="shared" si="1"/>
        <v>VSC-non-halitosis</v>
      </c>
      <c r="O52" s="3" t="str">
        <f t="shared" si="2"/>
        <v>Clinical- / VSC-</v>
      </c>
      <c r="P52" s="5">
        <f t="shared" si="3"/>
        <v>0.69314718055994529</v>
      </c>
      <c r="Q52" s="5">
        <f t="shared" si="4"/>
        <v>0.69314718055994529</v>
      </c>
      <c r="R52" s="5">
        <f t="shared" si="4"/>
        <v>0.69314718055994529</v>
      </c>
      <c r="S52" s="5">
        <f t="shared" si="5"/>
        <v>0.5</v>
      </c>
      <c r="T52" s="3">
        <f t="shared" si="6"/>
        <v>0</v>
      </c>
      <c r="U52" s="3" t="s">
        <v>102</v>
      </c>
      <c r="V52" s="3">
        <v>1</v>
      </c>
      <c r="W52" s="6">
        <v>5.8</v>
      </c>
      <c r="X52" s="4">
        <v>10</v>
      </c>
      <c r="Y52" s="5">
        <v>0.4</v>
      </c>
      <c r="Z52" s="5">
        <v>1.5</v>
      </c>
      <c r="AA52" s="3" t="s">
        <v>108</v>
      </c>
      <c r="AB52" s="3">
        <v>1</v>
      </c>
      <c r="AC52" s="3" t="s">
        <v>81</v>
      </c>
      <c r="AD52" s="3">
        <v>0</v>
      </c>
      <c r="AE52" s="3" t="s">
        <v>98</v>
      </c>
      <c r="AF52" s="3">
        <v>0</v>
      </c>
      <c r="AG52" s="3" t="s">
        <v>82</v>
      </c>
      <c r="AH52" s="3">
        <v>1</v>
      </c>
      <c r="AI52" s="3">
        <v>2</v>
      </c>
      <c r="AJ52" s="3">
        <v>3</v>
      </c>
      <c r="AK52" s="3">
        <v>2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1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1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1</v>
      </c>
      <c r="BK52" s="3">
        <v>0</v>
      </c>
      <c r="BL52" s="3">
        <v>0</v>
      </c>
      <c r="BM52" s="3">
        <v>0</v>
      </c>
      <c r="BN52" s="3">
        <v>1</v>
      </c>
      <c r="BO52" s="3">
        <v>0</v>
      </c>
      <c r="BP52" s="3">
        <v>0</v>
      </c>
      <c r="BQ52" s="3">
        <v>1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7" t="s">
        <v>239</v>
      </c>
      <c r="BX52" s="7" t="s">
        <v>240</v>
      </c>
    </row>
    <row r="53" spans="1:76">
      <c r="A53" s="3" t="s">
        <v>241</v>
      </c>
      <c r="B53" s="3">
        <v>5076</v>
      </c>
      <c r="C53" s="3" t="s">
        <v>242</v>
      </c>
      <c r="D53" s="3">
        <v>2</v>
      </c>
      <c r="E53" s="4">
        <v>71</v>
      </c>
      <c r="F53" s="3" t="s">
        <v>78</v>
      </c>
      <c r="G53" s="3">
        <v>0</v>
      </c>
      <c r="H53" s="3">
        <v>0</v>
      </c>
      <c r="I53" s="4">
        <v>27</v>
      </c>
      <c r="J53" s="4">
        <v>4</v>
      </c>
      <c r="K53" s="4">
        <v>31</v>
      </c>
      <c r="L53" s="5">
        <f>IF(F53="F",65.79,IF(F53="M",79.94,""))</f>
        <v>79.94</v>
      </c>
      <c r="M53" s="3">
        <f t="shared" si="0"/>
        <v>0</v>
      </c>
      <c r="N53" s="3" t="str">
        <f t="shared" si="1"/>
        <v>VSC-non-halitosis</v>
      </c>
      <c r="O53" s="3" t="str">
        <f t="shared" si="2"/>
        <v>Clinical- / VSC-</v>
      </c>
      <c r="P53" s="5">
        <f t="shared" si="3"/>
        <v>3.4339872044851463</v>
      </c>
      <c r="Q53" s="5">
        <f t="shared" si="4"/>
        <v>3.3322045101752038</v>
      </c>
      <c r="R53" s="5">
        <f t="shared" si="4"/>
        <v>1.6094379124341003</v>
      </c>
      <c r="S53" s="5">
        <f t="shared" si="5"/>
        <v>0.12903225806451613</v>
      </c>
      <c r="T53" s="3">
        <f t="shared" si="6"/>
        <v>0</v>
      </c>
      <c r="U53" s="3" t="s">
        <v>96</v>
      </c>
      <c r="V53" s="3">
        <v>3</v>
      </c>
      <c r="W53" s="6">
        <v>7</v>
      </c>
      <c r="X53" s="4">
        <v>9</v>
      </c>
      <c r="Y53" s="5">
        <v>0.5</v>
      </c>
      <c r="Z53" s="5">
        <v>1.5</v>
      </c>
      <c r="AA53" s="3" t="s">
        <v>88</v>
      </c>
      <c r="AB53" s="3">
        <v>0</v>
      </c>
      <c r="AC53" s="3" t="s">
        <v>113</v>
      </c>
      <c r="AD53" s="3">
        <v>0</v>
      </c>
      <c r="AE53" s="3" t="s">
        <v>98</v>
      </c>
      <c r="AF53" s="3">
        <v>0</v>
      </c>
      <c r="AG53" s="3" t="s">
        <v>98</v>
      </c>
      <c r="AH53" s="3">
        <v>0</v>
      </c>
      <c r="AI53" s="3">
        <v>4</v>
      </c>
      <c r="AJ53" s="3">
        <v>1</v>
      </c>
      <c r="AK53" s="3">
        <v>1</v>
      </c>
      <c r="AL53" s="3">
        <v>0</v>
      </c>
      <c r="AM53" s="3">
        <v>1</v>
      </c>
      <c r="AN53" s="3">
        <v>0</v>
      </c>
      <c r="AO53" s="3">
        <v>0</v>
      </c>
      <c r="AP53" s="3">
        <v>1</v>
      </c>
      <c r="AQ53" s="3">
        <v>0</v>
      </c>
      <c r="AR53" s="3">
        <v>0</v>
      </c>
      <c r="AS53" s="3">
        <v>1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1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1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7" t="s">
        <v>243</v>
      </c>
      <c r="BX53" s="7" t="s">
        <v>244</v>
      </c>
    </row>
    <row r="54" spans="1:76">
      <c r="A54" s="3" t="s">
        <v>245</v>
      </c>
      <c r="B54" s="3">
        <v>5076</v>
      </c>
      <c r="C54" s="3" t="s">
        <v>242</v>
      </c>
      <c r="D54" s="3">
        <v>2</v>
      </c>
      <c r="E54" s="4">
        <v>71</v>
      </c>
      <c r="F54" s="3" t="s">
        <v>78</v>
      </c>
      <c r="G54" s="3">
        <v>0</v>
      </c>
      <c r="H54" s="3">
        <v>0</v>
      </c>
      <c r="I54" s="4">
        <v>27</v>
      </c>
      <c r="J54" s="4">
        <v>4</v>
      </c>
      <c r="K54" s="4">
        <v>31</v>
      </c>
      <c r="L54" s="5">
        <f>IF(F54="F",65.79,IF(F54="M",79.94,""))</f>
        <v>79.94</v>
      </c>
      <c r="M54" s="3">
        <f t="shared" si="0"/>
        <v>0</v>
      </c>
      <c r="N54" s="3" t="str">
        <f t="shared" si="1"/>
        <v>VSC-non-halitosis</v>
      </c>
      <c r="O54" s="3" t="str">
        <f t="shared" si="2"/>
        <v>Clinical- / VSC-</v>
      </c>
      <c r="P54" s="5">
        <f t="shared" si="3"/>
        <v>3.4339872044851463</v>
      </c>
      <c r="Q54" s="5">
        <f t="shared" si="4"/>
        <v>3.3322045101752038</v>
      </c>
      <c r="R54" s="5">
        <f t="shared" si="4"/>
        <v>1.6094379124341003</v>
      </c>
      <c r="S54" s="5">
        <f t="shared" si="5"/>
        <v>0.12903225806451613</v>
      </c>
      <c r="T54" s="3">
        <f t="shared" si="6"/>
        <v>0</v>
      </c>
      <c r="U54" s="3" t="s">
        <v>96</v>
      </c>
      <c r="V54" s="3">
        <v>3</v>
      </c>
      <c r="W54" s="6">
        <v>7.4</v>
      </c>
      <c r="X54" s="4">
        <v>12</v>
      </c>
      <c r="Y54" s="5">
        <v>0.5</v>
      </c>
      <c r="Z54" s="5">
        <v>2.4</v>
      </c>
      <c r="AA54" s="3" t="s">
        <v>88</v>
      </c>
      <c r="AB54" s="3">
        <v>0</v>
      </c>
      <c r="AC54" s="3" t="s">
        <v>113</v>
      </c>
      <c r="AD54" s="3">
        <v>0</v>
      </c>
      <c r="AE54" s="3" t="s">
        <v>98</v>
      </c>
      <c r="AF54" s="3">
        <v>0</v>
      </c>
      <c r="AG54" s="3" t="s">
        <v>98</v>
      </c>
      <c r="AH54" s="3">
        <v>0</v>
      </c>
      <c r="AI54" s="3">
        <v>4</v>
      </c>
      <c r="AJ54" s="3">
        <v>1</v>
      </c>
      <c r="AK54" s="3">
        <v>1</v>
      </c>
      <c r="AL54" s="3">
        <v>0</v>
      </c>
      <c r="AM54" s="3">
        <v>1</v>
      </c>
      <c r="AN54" s="3">
        <v>0</v>
      </c>
      <c r="AO54" s="3">
        <v>0</v>
      </c>
      <c r="AP54" s="3">
        <v>1</v>
      </c>
      <c r="AQ54" s="3">
        <v>0</v>
      </c>
      <c r="AR54" s="3">
        <v>0</v>
      </c>
      <c r="AS54" s="3">
        <v>1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1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7" t="s">
        <v>243</v>
      </c>
      <c r="BX54" s="7" t="s">
        <v>244</v>
      </c>
    </row>
    <row r="55" spans="1:76">
      <c r="A55" s="3" t="s">
        <v>246</v>
      </c>
      <c r="B55" s="3">
        <v>3659</v>
      </c>
      <c r="C55" s="3" t="s">
        <v>247</v>
      </c>
      <c r="D55" s="3">
        <v>1</v>
      </c>
      <c r="E55" s="4">
        <v>67</v>
      </c>
      <c r="F55" s="3" t="s">
        <v>78</v>
      </c>
      <c r="G55" s="3">
        <v>0</v>
      </c>
      <c r="H55" s="3">
        <v>0</v>
      </c>
      <c r="I55" s="4">
        <v>158</v>
      </c>
      <c r="J55" s="4">
        <v>28</v>
      </c>
      <c r="K55" s="4">
        <v>186</v>
      </c>
      <c r="L55" s="5">
        <f>IF(F55="F",65.79,IF(F55="M",79.94,""))</f>
        <v>79.94</v>
      </c>
      <c r="M55" s="3">
        <f t="shared" si="0"/>
        <v>1</v>
      </c>
      <c r="N55" s="3" t="str">
        <f t="shared" si="1"/>
        <v>VSC-halitosis</v>
      </c>
      <c r="O55" s="3" t="str">
        <f t="shared" si="2"/>
        <v>Clinical- / VSC+</v>
      </c>
      <c r="P55" s="5">
        <f t="shared" si="3"/>
        <v>5.2257466737132017</v>
      </c>
      <c r="Q55" s="5">
        <f t="shared" si="4"/>
        <v>5.0689042022202315</v>
      </c>
      <c r="R55" s="5">
        <f t="shared" si="4"/>
        <v>3.3672958299864741</v>
      </c>
      <c r="S55" s="5">
        <f t="shared" si="5"/>
        <v>0.15053763440860216</v>
      </c>
      <c r="T55" s="3">
        <f t="shared" si="6"/>
        <v>0</v>
      </c>
      <c r="U55" s="3" t="s">
        <v>96</v>
      </c>
      <c r="V55" s="3">
        <v>3</v>
      </c>
      <c r="W55" s="6">
        <v>7.6</v>
      </c>
      <c r="X55" s="4">
        <v>12</v>
      </c>
      <c r="Y55" s="5">
        <v>0.15</v>
      </c>
      <c r="Z55" s="5">
        <v>1.4</v>
      </c>
      <c r="AA55" s="3" t="s">
        <v>80</v>
      </c>
      <c r="AB55" s="3">
        <v>0</v>
      </c>
      <c r="AC55" s="3" t="s">
        <v>81</v>
      </c>
      <c r="AD55" s="3">
        <v>0</v>
      </c>
      <c r="AE55" s="3" t="s">
        <v>82</v>
      </c>
      <c r="AF55" s="3">
        <v>1</v>
      </c>
      <c r="AG55" s="3" t="s">
        <v>98</v>
      </c>
      <c r="AH55" s="3">
        <v>0</v>
      </c>
      <c r="AI55" s="3">
        <v>1</v>
      </c>
      <c r="AJ55" s="3">
        <v>1</v>
      </c>
      <c r="AK55" s="3">
        <v>1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1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1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7" t="s">
        <v>248</v>
      </c>
      <c r="BX55" s="7" t="s">
        <v>119</v>
      </c>
    </row>
    <row r="56" spans="1:76">
      <c r="A56" s="3" t="s">
        <v>249</v>
      </c>
      <c r="B56" s="3">
        <v>5097</v>
      </c>
      <c r="C56" s="3" t="s">
        <v>250</v>
      </c>
      <c r="D56" s="3">
        <v>1</v>
      </c>
      <c r="E56" s="4">
        <v>90</v>
      </c>
      <c r="F56" s="3" t="s">
        <v>87</v>
      </c>
      <c r="G56" s="3">
        <v>0</v>
      </c>
      <c r="H56" s="3">
        <v>0</v>
      </c>
      <c r="I56" s="4">
        <v>0</v>
      </c>
      <c r="J56" s="4">
        <v>1</v>
      </c>
      <c r="K56" s="4">
        <v>1</v>
      </c>
      <c r="L56" s="5">
        <f>IF(F56="F",65.79,IF(F56="M",79.94,""))</f>
        <v>65.790000000000006</v>
      </c>
      <c r="M56" s="3">
        <f t="shared" si="0"/>
        <v>0</v>
      </c>
      <c r="N56" s="3" t="str">
        <f t="shared" si="1"/>
        <v>VSC-non-halitosis</v>
      </c>
      <c r="O56" s="3" t="str">
        <f t="shared" si="2"/>
        <v>Clinical- / VSC-</v>
      </c>
      <c r="P56" s="5">
        <f t="shared" si="3"/>
        <v>0</v>
      </c>
      <c r="Q56" s="5">
        <f t="shared" si="4"/>
        <v>0</v>
      </c>
      <c r="R56" s="5">
        <f t="shared" si="4"/>
        <v>0.69314718055994529</v>
      </c>
      <c r="S56" s="5">
        <f t="shared" si="5"/>
        <v>1</v>
      </c>
      <c r="T56" s="3">
        <f t="shared" si="6"/>
        <v>1</v>
      </c>
      <c r="U56" s="3" t="s">
        <v>102</v>
      </c>
      <c r="V56" s="3">
        <v>1</v>
      </c>
      <c r="W56" s="6">
        <v>6</v>
      </c>
      <c r="X56" s="4">
        <v>8</v>
      </c>
      <c r="Y56" s="5">
        <v>0.5</v>
      </c>
      <c r="Z56" s="5">
        <v>5</v>
      </c>
      <c r="AA56" s="3" t="s">
        <v>208</v>
      </c>
      <c r="AB56" s="3">
        <v>1</v>
      </c>
      <c r="AC56" s="3" t="s">
        <v>113</v>
      </c>
      <c r="AD56" s="3">
        <v>0</v>
      </c>
      <c r="AE56" s="3" t="s">
        <v>98</v>
      </c>
      <c r="AF56" s="3">
        <v>0</v>
      </c>
      <c r="AG56" s="3" t="s">
        <v>82</v>
      </c>
      <c r="AH56" s="3">
        <v>1</v>
      </c>
      <c r="AI56" s="3">
        <v>3</v>
      </c>
      <c r="AJ56" s="3">
        <v>0</v>
      </c>
      <c r="AK56" s="3">
        <v>0</v>
      </c>
      <c r="AL56" s="3">
        <v>1</v>
      </c>
      <c r="AM56" s="3">
        <v>0</v>
      </c>
      <c r="AN56" s="3">
        <v>0</v>
      </c>
      <c r="AO56" s="3">
        <v>1</v>
      </c>
      <c r="AP56" s="3">
        <v>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7" t="s">
        <v>251</v>
      </c>
      <c r="BX56" s="7" t="s">
        <v>252</v>
      </c>
    </row>
    <row r="57" spans="1:76">
      <c r="A57" s="3" t="s">
        <v>253</v>
      </c>
      <c r="B57" s="3">
        <v>5579</v>
      </c>
      <c r="C57" s="3" t="s">
        <v>254</v>
      </c>
      <c r="D57" s="3">
        <v>1</v>
      </c>
      <c r="E57" s="4">
        <v>65</v>
      </c>
      <c r="F57" s="3" t="s">
        <v>87</v>
      </c>
      <c r="G57" s="3">
        <v>0</v>
      </c>
      <c r="H57" s="3">
        <v>0</v>
      </c>
      <c r="I57" s="4">
        <v>3</v>
      </c>
      <c r="J57" s="4">
        <v>0</v>
      </c>
      <c r="K57" s="4">
        <v>3</v>
      </c>
      <c r="L57" s="5">
        <f>IF(F57="F",65.79,IF(F57="M",79.94,""))</f>
        <v>65.790000000000006</v>
      </c>
      <c r="M57" s="3">
        <f t="shared" si="0"/>
        <v>0</v>
      </c>
      <c r="N57" s="3" t="str">
        <f t="shared" si="1"/>
        <v>VSC-non-halitosis</v>
      </c>
      <c r="O57" s="3" t="str">
        <f t="shared" si="2"/>
        <v>Clinical- / VSC-</v>
      </c>
      <c r="P57" s="5">
        <f t="shared" si="3"/>
        <v>1.0986122886681098</v>
      </c>
      <c r="Q57" s="5">
        <f t="shared" si="4"/>
        <v>1.3862943611198906</v>
      </c>
      <c r="R57" s="5">
        <f t="shared" si="4"/>
        <v>0</v>
      </c>
      <c r="S57" s="5">
        <f t="shared" si="5"/>
        <v>0</v>
      </c>
      <c r="T57" s="3">
        <f t="shared" si="6"/>
        <v>0</v>
      </c>
      <c r="U57" s="3" t="s">
        <v>102</v>
      </c>
      <c r="V57" s="3">
        <v>1</v>
      </c>
      <c r="W57" s="6">
        <v>6.8</v>
      </c>
      <c r="X57" s="4">
        <v>9</v>
      </c>
      <c r="Y57" s="5">
        <v>0.5</v>
      </c>
      <c r="Z57" s="5">
        <v>1</v>
      </c>
      <c r="AA57" s="3" t="s">
        <v>108</v>
      </c>
      <c r="AB57" s="3">
        <v>1</v>
      </c>
      <c r="AC57" s="3" t="s">
        <v>81</v>
      </c>
      <c r="AD57" s="3">
        <v>0</v>
      </c>
      <c r="AE57" s="3" t="s">
        <v>98</v>
      </c>
      <c r="AF57" s="3">
        <v>0</v>
      </c>
      <c r="AG57" s="3" t="s">
        <v>82</v>
      </c>
      <c r="AH57" s="3">
        <v>1</v>
      </c>
      <c r="AI57" s="3">
        <v>1</v>
      </c>
      <c r="AJ57" s="3">
        <v>0</v>
      </c>
      <c r="AK57" s="3">
        <v>0</v>
      </c>
      <c r="AL57" s="3">
        <v>1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7" t="s">
        <v>186</v>
      </c>
      <c r="BX57" s="7" t="s">
        <v>119</v>
      </c>
    </row>
    <row r="58" spans="1:76">
      <c r="A58" s="3" t="s">
        <v>255</v>
      </c>
      <c r="B58" s="3">
        <v>5054</v>
      </c>
      <c r="C58" s="3" t="s">
        <v>256</v>
      </c>
      <c r="D58" s="3">
        <v>1</v>
      </c>
      <c r="E58" s="4">
        <v>59</v>
      </c>
      <c r="F58" s="3" t="s">
        <v>78</v>
      </c>
      <c r="G58" s="3">
        <v>0</v>
      </c>
      <c r="H58" s="3">
        <v>0</v>
      </c>
      <c r="I58" s="4">
        <v>36</v>
      </c>
      <c r="J58" s="4">
        <v>5</v>
      </c>
      <c r="K58" s="4">
        <v>41</v>
      </c>
      <c r="L58" s="5">
        <f>IF(F58="F",65.79,IF(F58="M",79.94,""))</f>
        <v>79.94</v>
      </c>
      <c r="M58" s="3">
        <f t="shared" si="0"/>
        <v>0</v>
      </c>
      <c r="N58" s="3" t="str">
        <f t="shared" si="1"/>
        <v>VSC-non-halitosis</v>
      </c>
      <c r="O58" s="3" t="str">
        <f t="shared" si="2"/>
        <v>Clinical- / VSC-</v>
      </c>
      <c r="P58" s="5">
        <f t="shared" si="3"/>
        <v>3.713572066704308</v>
      </c>
      <c r="Q58" s="5">
        <f t="shared" si="4"/>
        <v>3.6109179126442243</v>
      </c>
      <c r="R58" s="5">
        <f t="shared" si="4"/>
        <v>1.791759469228055</v>
      </c>
      <c r="S58" s="5">
        <f t="shared" si="5"/>
        <v>0.12195121951219512</v>
      </c>
      <c r="T58" s="3">
        <f t="shared" si="6"/>
        <v>0</v>
      </c>
      <c r="U58" s="3" t="s">
        <v>96</v>
      </c>
      <c r="V58" s="3">
        <v>3</v>
      </c>
      <c r="W58" s="6">
        <v>6.2</v>
      </c>
      <c r="X58" s="4">
        <v>12</v>
      </c>
      <c r="Y58" s="5">
        <v>0.2</v>
      </c>
      <c r="Z58" s="5">
        <v>0.8</v>
      </c>
      <c r="AA58" s="3" t="s">
        <v>88</v>
      </c>
      <c r="AB58" s="3">
        <v>0</v>
      </c>
      <c r="AC58" s="3" t="s">
        <v>81</v>
      </c>
      <c r="AD58" s="3">
        <v>0</v>
      </c>
      <c r="AE58" s="3" t="s">
        <v>82</v>
      </c>
      <c r="AF58" s="3">
        <v>1</v>
      </c>
      <c r="AG58" s="3" t="s">
        <v>98</v>
      </c>
      <c r="AH58" s="3">
        <v>0</v>
      </c>
      <c r="AI58" s="3">
        <v>1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7" t="s">
        <v>219</v>
      </c>
      <c r="BX58" s="7" t="s">
        <v>257</v>
      </c>
    </row>
    <row r="59" spans="1:76" ht="34">
      <c r="A59" s="3" t="s">
        <v>258</v>
      </c>
      <c r="B59" s="3">
        <v>2856</v>
      </c>
      <c r="C59" s="3" t="s">
        <v>259</v>
      </c>
      <c r="D59" s="3">
        <v>1</v>
      </c>
      <c r="E59" s="4">
        <v>65</v>
      </c>
      <c r="F59" s="3" t="s">
        <v>87</v>
      </c>
      <c r="G59" s="3">
        <v>0</v>
      </c>
      <c r="H59" s="3">
        <v>0</v>
      </c>
      <c r="I59" s="4">
        <v>5</v>
      </c>
      <c r="J59" s="4">
        <v>3</v>
      </c>
      <c r="K59" s="4">
        <v>8</v>
      </c>
      <c r="L59" s="5">
        <f>IF(F59="F",65.79,IF(F59="M",79.94,""))</f>
        <v>65.790000000000006</v>
      </c>
      <c r="M59" s="3">
        <f t="shared" si="0"/>
        <v>0</v>
      </c>
      <c r="N59" s="3" t="str">
        <f t="shared" si="1"/>
        <v>VSC-non-halitosis</v>
      </c>
      <c r="O59" s="3" t="str">
        <f t="shared" si="2"/>
        <v>Clinical- / VSC-</v>
      </c>
      <c r="P59" s="5">
        <f t="shared" si="3"/>
        <v>2.0794415416798357</v>
      </c>
      <c r="Q59" s="5">
        <f t="shared" si="4"/>
        <v>1.791759469228055</v>
      </c>
      <c r="R59" s="5">
        <f t="shared" si="4"/>
        <v>1.3862943611198906</v>
      </c>
      <c r="S59" s="5">
        <f t="shared" si="5"/>
        <v>0.375</v>
      </c>
      <c r="T59" s="3">
        <f t="shared" si="6"/>
        <v>0</v>
      </c>
      <c r="U59" s="3" t="s">
        <v>79</v>
      </c>
      <c r="V59" s="3">
        <v>2</v>
      </c>
      <c r="W59" s="6"/>
      <c r="X59" s="4">
        <v>8</v>
      </c>
      <c r="Y59" s="5">
        <v>0.5</v>
      </c>
      <c r="Z59" s="5">
        <v>2.4</v>
      </c>
      <c r="AA59" s="3" t="s">
        <v>80</v>
      </c>
      <c r="AB59" s="3">
        <v>0</v>
      </c>
      <c r="AC59" s="3" t="s">
        <v>113</v>
      </c>
      <c r="AD59" s="3">
        <v>0</v>
      </c>
      <c r="AE59" s="3" t="s">
        <v>82</v>
      </c>
      <c r="AF59" s="3">
        <v>1</v>
      </c>
      <c r="AG59" s="3" t="s">
        <v>80</v>
      </c>
      <c r="AH59" s="3">
        <v>0</v>
      </c>
      <c r="AI59" s="3">
        <v>2</v>
      </c>
      <c r="AJ59" s="3">
        <v>3</v>
      </c>
      <c r="AK59" s="3">
        <v>1</v>
      </c>
      <c r="AL59" s="3">
        <v>1</v>
      </c>
      <c r="AM59" s="3">
        <v>0</v>
      </c>
      <c r="AN59" s="3">
        <v>1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1</v>
      </c>
      <c r="BG59" s="3">
        <v>1</v>
      </c>
      <c r="BH59" s="3">
        <v>0</v>
      </c>
      <c r="BI59" s="3">
        <v>0</v>
      </c>
      <c r="BJ59" s="3">
        <v>0</v>
      </c>
      <c r="BK59" s="3">
        <v>0</v>
      </c>
      <c r="BL59" s="3">
        <v>1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7" t="s">
        <v>260</v>
      </c>
      <c r="BX59" s="7" t="s">
        <v>119</v>
      </c>
    </row>
    <row r="60" spans="1:76">
      <c r="A60" s="3" t="s">
        <v>261</v>
      </c>
      <c r="B60" s="3">
        <v>5973</v>
      </c>
      <c r="C60" s="3" t="s">
        <v>262</v>
      </c>
      <c r="D60" s="3">
        <v>1</v>
      </c>
      <c r="E60" s="4">
        <v>71</v>
      </c>
      <c r="F60" s="3" t="s">
        <v>87</v>
      </c>
      <c r="G60" s="3">
        <v>0</v>
      </c>
      <c r="H60" s="3">
        <v>0</v>
      </c>
      <c r="I60" s="4">
        <v>2</v>
      </c>
      <c r="J60" s="4">
        <v>1</v>
      </c>
      <c r="K60" s="4">
        <v>3</v>
      </c>
      <c r="L60" s="5">
        <f>IF(F60="F",65.79,IF(F60="M",79.94,""))</f>
        <v>65.790000000000006</v>
      </c>
      <c r="M60" s="3">
        <f t="shared" si="0"/>
        <v>0</v>
      </c>
      <c r="N60" s="3" t="str">
        <f t="shared" si="1"/>
        <v>VSC-non-halitosis</v>
      </c>
      <c r="O60" s="3" t="str">
        <f t="shared" si="2"/>
        <v>Clinical- / VSC-</v>
      </c>
      <c r="P60" s="5">
        <f t="shared" si="3"/>
        <v>1.0986122886681098</v>
      </c>
      <c r="Q60" s="5">
        <f t="shared" si="4"/>
        <v>1.0986122886681098</v>
      </c>
      <c r="R60" s="5">
        <f t="shared" si="4"/>
        <v>0.69314718055994529</v>
      </c>
      <c r="S60" s="5">
        <f t="shared" si="5"/>
        <v>0.33333333333333331</v>
      </c>
      <c r="T60" s="3">
        <f t="shared" si="6"/>
        <v>0</v>
      </c>
      <c r="U60" s="3" t="s">
        <v>102</v>
      </c>
      <c r="V60" s="3">
        <v>1</v>
      </c>
      <c r="W60" s="6">
        <v>5.6</v>
      </c>
      <c r="X60" s="4">
        <v>12</v>
      </c>
      <c r="Y60" s="5">
        <v>0.01</v>
      </c>
      <c r="Z60" s="5">
        <v>1</v>
      </c>
      <c r="AA60" s="3" t="s">
        <v>97</v>
      </c>
      <c r="AB60" s="3">
        <v>0</v>
      </c>
      <c r="AC60" s="3" t="s">
        <v>81</v>
      </c>
      <c r="AD60" s="3">
        <v>0</v>
      </c>
      <c r="AE60" s="3" t="s">
        <v>82</v>
      </c>
      <c r="AF60" s="3">
        <v>1</v>
      </c>
      <c r="AG60" s="3" t="s">
        <v>82</v>
      </c>
      <c r="AH60" s="3">
        <v>1</v>
      </c>
      <c r="AI60" s="3">
        <v>1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1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7" t="s">
        <v>263</v>
      </c>
      <c r="BX60" s="7"/>
    </row>
    <row r="61" spans="1:76" ht="85">
      <c r="A61" s="3" t="s">
        <v>264</v>
      </c>
      <c r="B61" s="3">
        <v>3405</v>
      </c>
      <c r="C61" s="3" t="s">
        <v>265</v>
      </c>
      <c r="D61" s="3">
        <v>1</v>
      </c>
      <c r="E61" s="4">
        <v>83</v>
      </c>
      <c r="F61" s="3" t="s">
        <v>87</v>
      </c>
      <c r="G61" s="3">
        <v>0</v>
      </c>
      <c r="H61" s="3">
        <v>0</v>
      </c>
      <c r="I61" s="4">
        <v>5</v>
      </c>
      <c r="J61" s="4"/>
      <c r="K61" s="4">
        <v>5</v>
      </c>
      <c r="L61" s="5">
        <f>IF(F61="F",65.79,IF(F61="M",79.94,""))</f>
        <v>65.790000000000006</v>
      </c>
      <c r="M61" s="3">
        <f t="shared" si="0"/>
        <v>0</v>
      </c>
      <c r="N61" s="3" t="str">
        <f t="shared" si="1"/>
        <v>VSC-non-halitosis</v>
      </c>
      <c r="O61" s="3" t="str">
        <f t="shared" si="2"/>
        <v>Clinical- / VSC-</v>
      </c>
      <c r="P61" s="5">
        <f t="shared" si="3"/>
        <v>1.6094379124341003</v>
      </c>
      <c r="Q61" s="5">
        <f t="shared" si="4"/>
        <v>1.791759469228055</v>
      </c>
      <c r="R61" s="5" t="str">
        <f t="shared" si="4"/>
        <v/>
      </c>
      <c r="S61" s="5">
        <f t="shared" si="5"/>
        <v>0</v>
      </c>
      <c r="T61" s="3">
        <f t="shared" si="6"/>
        <v>0</v>
      </c>
      <c r="U61" s="3" t="s">
        <v>79</v>
      </c>
      <c r="V61" s="3">
        <v>2</v>
      </c>
      <c r="W61" s="6">
        <v>7.4</v>
      </c>
      <c r="X61" s="4">
        <v>9</v>
      </c>
      <c r="Y61" s="5">
        <v>0.5</v>
      </c>
      <c r="Z61" s="5">
        <v>1</v>
      </c>
      <c r="AA61" s="3" t="s">
        <v>80</v>
      </c>
      <c r="AB61" s="3">
        <v>0</v>
      </c>
      <c r="AC61" s="3" t="s">
        <v>81</v>
      </c>
      <c r="AD61" s="3">
        <v>0</v>
      </c>
      <c r="AE61" s="3" t="s">
        <v>82</v>
      </c>
      <c r="AF61" s="3">
        <v>1</v>
      </c>
      <c r="AG61" s="3" t="s">
        <v>103</v>
      </c>
      <c r="AH61" s="3">
        <v>1</v>
      </c>
      <c r="AI61" s="3">
        <v>1</v>
      </c>
      <c r="AJ61" s="3">
        <v>5</v>
      </c>
      <c r="AK61" s="3">
        <v>3</v>
      </c>
      <c r="AL61" s="3">
        <v>1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1</v>
      </c>
      <c r="BH61" s="3">
        <v>0</v>
      </c>
      <c r="BI61" s="3">
        <v>0</v>
      </c>
      <c r="BJ61" s="3">
        <v>0</v>
      </c>
      <c r="BK61" s="3">
        <v>0</v>
      </c>
      <c r="BL61" s="3">
        <v>1</v>
      </c>
      <c r="BM61" s="3">
        <v>1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1</v>
      </c>
      <c r="BU61" s="3">
        <v>0</v>
      </c>
      <c r="BV61" s="3">
        <v>1</v>
      </c>
      <c r="BW61" s="7" t="s">
        <v>186</v>
      </c>
      <c r="BX61" s="7" t="s">
        <v>266</v>
      </c>
    </row>
    <row r="62" spans="1:76" ht="34">
      <c r="A62" s="3" t="s">
        <v>267</v>
      </c>
      <c r="B62" s="3">
        <v>6432</v>
      </c>
      <c r="C62" s="3" t="s">
        <v>268</v>
      </c>
      <c r="D62" s="3">
        <v>1</v>
      </c>
      <c r="E62" s="4">
        <v>83</v>
      </c>
      <c r="F62" s="3" t="s">
        <v>87</v>
      </c>
      <c r="G62" s="3">
        <v>0</v>
      </c>
      <c r="H62" s="3">
        <v>0</v>
      </c>
      <c r="I62" s="4">
        <v>1</v>
      </c>
      <c r="J62" s="4">
        <v>1</v>
      </c>
      <c r="K62" s="4">
        <v>2</v>
      </c>
      <c r="L62" s="5">
        <f>IF(F62="F",65.79,IF(F62="M",79.94,""))</f>
        <v>65.790000000000006</v>
      </c>
      <c r="M62" s="3">
        <f t="shared" si="0"/>
        <v>0</v>
      </c>
      <c r="N62" s="3" t="str">
        <f t="shared" si="1"/>
        <v>VSC-non-halitosis</v>
      </c>
      <c r="O62" s="3" t="str">
        <f t="shared" si="2"/>
        <v>Clinical- / VSC-</v>
      </c>
      <c r="P62" s="5">
        <f t="shared" si="3"/>
        <v>0.69314718055994529</v>
      </c>
      <c r="Q62" s="5">
        <f t="shared" si="4"/>
        <v>0.69314718055994529</v>
      </c>
      <c r="R62" s="5">
        <f t="shared" si="4"/>
        <v>0.69314718055994529</v>
      </c>
      <c r="S62" s="5">
        <f t="shared" si="5"/>
        <v>0.5</v>
      </c>
      <c r="T62" s="3">
        <f t="shared" si="6"/>
        <v>0</v>
      </c>
      <c r="U62" s="3" t="s">
        <v>102</v>
      </c>
      <c r="V62" s="3">
        <v>1</v>
      </c>
      <c r="W62" s="6">
        <v>6.6</v>
      </c>
      <c r="X62" s="4">
        <v>9</v>
      </c>
      <c r="Y62" s="5">
        <v>0.1</v>
      </c>
      <c r="Z62" s="5">
        <v>1.2</v>
      </c>
      <c r="AA62" s="3" t="s">
        <v>108</v>
      </c>
      <c r="AB62" s="3">
        <v>1</v>
      </c>
      <c r="AC62" s="3" t="s">
        <v>81</v>
      </c>
      <c r="AD62" s="3">
        <v>0</v>
      </c>
      <c r="AE62" s="3" t="s">
        <v>82</v>
      </c>
      <c r="AF62" s="3">
        <v>1</v>
      </c>
      <c r="AG62" s="3" t="s">
        <v>82</v>
      </c>
      <c r="AH62" s="3">
        <v>1</v>
      </c>
      <c r="AI62" s="3">
        <v>2</v>
      </c>
      <c r="AJ62" s="3">
        <v>3</v>
      </c>
      <c r="AK62" s="3">
        <v>2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1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1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1</v>
      </c>
      <c r="BV62" s="3">
        <v>1</v>
      </c>
      <c r="BW62" s="7" t="s">
        <v>269</v>
      </c>
      <c r="BX62" s="7" t="s">
        <v>80</v>
      </c>
    </row>
    <row r="63" spans="1:76" ht="68">
      <c r="A63" s="3" t="s">
        <v>270</v>
      </c>
      <c r="B63" s="3">
        <v>5163</v>
      </c>
      <c r="C63" s="3" t="s">
        <v>271</v>
      </c>
      <c r="D63" s="3">
        <v>1</v>
      </c>
      <c r="E63" s="4">
        <v>73</v>
      </c>
      <c r="F63" s="3" t="s">
        <v>87</v>
      </c>
      <c r="G63" s="3">
        <v>0</v>
      </c>
      <c r="H63" s="3">
        <v>0</v>
      </c>
      <c r="I63" s="4">
        <v>27</v>
      </c>
      <c r="J63" s="4">
        <v>1</v>
      </c>
      <c r="K63" s="4">
        <v>28</v>
      </c>
      <c r="L63" s="5">
        <f>IF(F63="F",65.79,IF(F63="M",79.94,""))</f>
        <v>65.790000000000006</v>
      </c>
      <c r="M63" s="3">
        <f t="shared" si="0"/>
        <v>0</v>
      </c>
      <c r="N63" s="3" t="str">
        <f t="shared" si="1"/>
        <v>VSC-non-halitosis</v>
      </c>
      <c r="O63" s="3" t="str">
        <f t="shared" si="2"/>
        <v>Clinical- / VSC-</v>
      </c>
      <c r="P63" s="5">
        <f t="shared" si="3"/>
        <v>3.3322045101752038</v>
      </c>
      <c r="Q63" s="5">
        <f t="shared" si="4"/>
        <v>3.3322045101752038</v>
      </c>
      <c r="R63" s="5">
        <f t="shared" si="4"/>
        <v>0.69314718055994529</v>
      </c>
      <c r="S63" s="5">
        <f t="shared" si="5"/>
        <v>3.5714285714285712E-2</v>
      </c>
      <c r="T63" s="3">
        <f t="shared" si="6"/>
        <v>0</v>
      </c>
      <c r="U63" s="3" t="s">
        <v>96</v>
      </c>
      <c r="V63" s="3">
        <v>3</v>
      </c>
      <c r="W63" s="6">
        <v>7.4</v>
      </c>
      <c r="X63" s="4">
        <v>12</v>
      </c>
      <c r="Y63" s="5">
        <v>0.75</v>
      </c>
      <c r="Z63" s="5">
        <v>2.5</v>
      </c>
      <c r="AA63" s="3" t="s">
        <v>88</v>
      </c>
      <c r="AB63" s="3">
        <v>0</v>
      </c>
      <c r="AC63" s="3" t="s">
        <v>81</v>
      </c>
      <c r="AD63" s="3">
        <v>0</v>
      </c>
      <c r="AE63" s="3" t="s">
        <v>82</v>
      </c>
      <c r="AF63" s="3">
        <v>1</v>
      </c>
      <c r="AG63" s="3" t="s">
        <v>82</v>
      </c>
      <c r="AH63" s="3">
        <v>1</v>
      </c>
      <c r="AI63" s="3">
        <v>5</v>
      </c>
      <c r="AJ63" s="3">
        <v>3</v>
      </c>
      <c r="AK63" s="3">
        <v>1</v>
      </c>
      <c r="AL63" s="3">
        <v>0</v>
      </c>
      <c r="AM63" s="3">
        <v>0</v>
      </c>
      <c r="AN63" s="3">
        <v>1</v>
      </c>
      <c r="AO63" s="3">
        <v>0</v>
      </c>
      <c r="AP63" s="3">
        <v>1</v>
      </c>
      <c r="AQ63" s="3">
        <v>1</v>
      </c>
      <c r="AR63" s="3">
        <v>1</v>
      </c>
      <c r="AS63" s="3">
        <v>0</v>
      </c>
      <c r="AT63" s="3">
        <v>1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1</v>
      </c>
      <c r="BG63" s="3">
        <v>0</v>
      </c>
      <c r="BH63" s="3">
        <v>0</v>
      </c>
      <c r="BI63" s="3">
        <v>1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1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7" t="s">
        <v>272</v>
      </c>
      <c r="BX63" s="7" t="s">
        <v>273</v>
      </c>
    </row>
    <row r="64" spans="1:76">
      <c r="A64" s="3" t="s">
        <v>274</v>
      </c>
      <c r="B64" s="3">
        <v>3349</v>
      </c>
      <c r="C64" s="3" t="s">
        <v>275</v>
      </c>
      <c r="D64" s="3">
        <v>1</v>
      </c>
      <c r="E64" s="4">
        <v>79</v>
      </c>
      <c r="F64" s="3" t="s">
        <v>87</v>
      </c>
      <c r="G64" s="3">
        <v>0</v>
      </c>
      <c r="H64" s="3">
        <v>0</v>
      </c>
      <c r="I64" s="4">
        <v>1</v>
      </c>
      <c r="J64" s="4">
        <v>1</v>
      </c>
      <c r="K64" s="4">
        <v>2</v>
      </c>
      <c r="L64" s="5">
        <f>IF(F64="F",65.79,IF(F64="M",79.94,""))</f>
        <v>65.790000000000006</v>
      </c>
      <c r="M64" s="3">
        <f t="shared" si="0"/>
        <v>0</v>
      </c>
      <c r="N64" s="3" t="str">
        <f t="shared" si="1"/>
        <v>VSC-non-halitosis</v>
      </c>
      <c r="O64" s="3" t="str">
        <f t="shared" si="2"/>
        <v>Clinical- / VSC-</v>
      </c>
      <c r="P64" s="5">
        <f t="shared" si="3"/>
        <v>0.69314718055994529</v>
      </c>
      <c r="Q64" s="5">
        <f t="shared" si="4"/>
        <v>0.69314718055994529</v>
      </c>
      <c r="R64" s="5">
        <f t="shared" si="4"/>
        <v>0.69314718055994529</v>
      </c>
      <c r="S64" s="5">
        <f t="shared" si="5"/>
        <v>0.5</v>
      </c>
      <c r="T64" s="3">
        <f t="shared" si="6"/>
        <v>0</v>
      </c>
      <c r="U64" s="3" t="s">
        <v>102</v>
      </c>
      <c r="V64" s="3">
        <v>1</v>
      </c>
      <c r="W64" s="6">
        <v>6.2</v>
      </c>
      <c r="X64" s="4">
        <v>10</v>
      </c>
      <c r="Y64" s="5">
        <v>0.3</v>
      </c>
      <c r="Z64" s="5">
        <v>1.5</v>
      </c>
      <c r="AA64" s="3" t="s">
        <v>80</v>
      </c>
      <c r="AB64" s="3">
        <v>0</v>
      </c>
      <c r="AC64" s="3" t="s">
        <v>81</v>
      </c>
      <c r="AD64" s="3">
        <v>0</v>
      </c>
      <c r="AE64" s="3" t="s">
        <v>82</v>
      </c>
      <c r="AF64" s="3">
        <v>1</v>
      </c>
      <c r="AG64" s="3" t="s">
        <v>82</v>
      </c>
      <c r="AH64" s="3">
        <v>1</v>
      </c>
      <c r="AI64" s="3">
        <v>1</v>
      </c>
      <c r="AJ64" s="3">
        <v>0</v>
      </c>
      <c r="AK64" s="3">
        <v>0</v>
      </c>
      <c r="AL64" s="3">
        <v>0</v>
      </c>
      <c r="AM64" s="3">
        <v>1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7" t="s">
        <v>219</v>
      </c>
      <c r="BX64" s="7" t="s">
        <v>119</v>
      </c>
    </row>
    <row r="65" spans="1:76">
      <c r="A65" s="3" t="s">
        <v>276</v>
      </c>
      <c r="B65" s="3">
        <v>3239</v>
      </c>
      <c r="C65" s="3" t="s">
        <v>277</v>
      </c>
      <c r="D65" s="3">
        <v>1</v>
      </c>
      <c r="E65" s="4">
        <v>61</v>
      </c>
      <c r="F65" s="3" t="s">
        <v>87</v>
      </c>
      <c r="G65" s="3">
        <v>0</v>
      </c>
      <c r="H65" s="3">
        <v>0</v>
      </c>
      <c r="I65" s="4">
        <v>142</v>
      </c>
      <c r="J65" s="4">
        <v>76</v>
      </c>
      <c r="K65" s="4">
        <v>218</v>
      </c>
      <c r="L65" s="5">
        <f>IF(F65="F",65.79,IF(F65="M",79.94,""))</f>
        <v>65.790000000000006</v>
      </c>
      <c r="M65" s="3">
        <f t="shared" si="0"/>
        <v>1</v>
      </c>
      <c r="N65" s="3" t="str">
        <f t="shared" si="1"/>
        <v>VSC-halitosis</v>
      </c>
      <c r="O65" s="3" t="str">
        <f t="shared" si="2"/>
        <v>Clinical- / VSC+</v>
      </c>
      <c r="P65" s="5">
        <f t="shared" si="3"/>
        <v>5.3844950627890888</v>
      </c>
      <c r="Q65" s="5">
        <f t="shared" si="4"/>
        <v>4.962844630259907</v>
      </c>
      <c r="R65" s="5">
        <f t="shared" si="4"/>
        <v>4.3438054218536841</v>
      </c>
      <c r="S65" s="5">
        <f t="shared" si="5"/>
        <v>0.34862385321100919</v>
      </c>
      <c r="T65" s="3">
        <f t="shared" si="6"/>
        <v>0</v>
      </c>
      <c r="U65" s="3" t="s">
        <v>96</v>
      </c>
      <c r="V65" s="3">
        <v>3</v>
      </c>
      <c r="W65" s="6">
        <v>6.4</v>
      </c>
      <c r="X65" s="4">
        <v>10</v>
      </c>
      <c r="Y65" s="5">
        <v>0.5</v>
      </c>
      <c r="Z65" s="5">
        <v>1.5</v>
      </c>
      <c r="AA65" s="3" t="s">
        <v>80</v>
      </c>
      <c r="AB65" s="3">
        <v>0</v>
      </c>
      <c r="AC65" s="3" t="s">
        <v>81</v>
      </c>
      <c r="AD65" s="3">
        <v>0</v>
      </c>
      <c r="AE65" s="3" t="s">
        <v>82</v>
      </c>
      <c r="AF65" s="3">
        <v>1</v>
      </c>
      <c r="AG65" s="3" t="s">
        <v>82</v>
      </c>
      <c r="AH65" s="3">
        <v>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7" t="s">
        <v>119</v>
      </c>
      <c r="BX65" s="7" t="s">
        <v>119</v>
      </c>
    </row>
    <row r="66" spans="1:76">
      <c r="A66" s="3" t="s">
        <v>278</v>
      </c>
      <c r="B66" s="3">
        <v>4594</v>
      </c>
      <c r="C66" s="3" t="s">
        <v>279</v>
      </c>
      <c r="D66" s="3">
        <v>2</v>
      </c>
      <c r="E66" s="4">
        <v>64</v>
      </c>
      <c r="F66" s="3" t="s">
        <v>87</v>
      </c>
      <c r="G66" s="3">
        <v>0</v>
      </c>
      <c r="H66" s="3">
        <v>0</v>
      </c>
      <c r="I66" s="4">
        <v>902</v>
      </c>
      <c r="J66" s="4">
        <v>1514</v>
      </c>
      <c r="K66" s="4">
        <v>2416</v>
      </c>
      <c r="L66" s="5">
        <f>IF(F66="F",65.79,IF(F66="M",79.94,""))</f>
        <v>65.790000000000006</v>
      </c>
      <c r="M66" s="3">
        <f t="shared" ref="M66:M129" si="7">IF(AND(ISNUMBER(K66),ISNUMBER(L66),K66&gt;=L66),1,0)</f>
        <v>1</v>
      </c>
      <c r="N66" s="3" t="str">
        <f t="shared" ref="N66:N129" si="8">IF(M66=1,"VSC-halitosis","VSC-non-halitosis")</f>
        <v>VSC-halitosis</v>
      </c>
      <c r="O66" s="3" t="str">
        <f t="shared" ref="O66:O129" si="9">IF(AND(G66=1,M66=1),"Clinical+ / VSC+",IF(AND(G66=1,M66=0),"Clinical+ / VSC-",IF(AND(G66=0,M66=1),"Clinical- / VSC+","Clinical- / VSC-")))</f>
        <v>Clinical- / VSC+</v>
      </c>
      <c r="P66" s="5">
        <f t="shared" ref="P66:P129" si="10">IF(K66&gt;0,LN(K66),"")</f>
        <v>7.7898685590547059</v>
      </c>
      <c r="Q66" s="5">
        <f t="shared" ref="Q66:R129" si="11">IF(ISNUMBER(I66),LN(I66+1),"")</f>
        <v>6.8057225534169854</v>
      </c>
      <c r="R66" s="5">
        <f t="shared" si="11"/>
        <v>7.3231707179434693</v>
      </c>
      <c r="S66" s="5">
        <f t="shared" ref="S66:S129" si="12">IF(K66&gt;0,J66/K66,"")</f>
        <v>0.6266556291390728</v>
      </c>
      <c r="T66" s="3">
        <f t="shared" ref="T66:T129" si="13">IF(J66&gt;I66,1,0)</f>
        <v>1</v>
      </c>
      <c r="U66" s="3" t="s">
        <v>96</v>
      </c>
      <c r="V66" s="3">
        <v>3</v>
      </c>
      <c r="W66" s="6">
        <v>6.6</v>
      </c>
      <c r="X66" s="4">
        <v>12</v>
      </c>
      <c r="Y66" s="5">
        <v>0.3</v>
      </c>
      <c r="Z66" s="5">
        <v>1.8</v>
      </c>
      <c r="AA66" s="3" t="s">
        <v>88</v>
      </c>
      <c r="AB66" s="3">
        <v>0</v>
      </c>
      <c r="AC66" s="3" t="s">
        <v>113</v>
      </c>
      <c r="AD66" s="3">
        <v>0</v>
      </c>
      <c r="AE66" s="3" t="s">
        <v>98</v>
      </c>
      <c r="AF66" s="3">
        <v>0</v>
      </c>
      <c r="AG66" s="3" t="s">
        <v>98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7"/>
      <c r="BX66" s="7" t="s">
        <v>280</v>
      </c>
    </row>
    <row r="67" spans="1:76">
      <c r="A67" s="3" t="s">
        <v>281</v>
      </c>
      <c r="B67" s="3">
        <v>4594</v>
      </c>
      <c r="C67" s="3" t="s">
        <v>279</v>
      </c>
      <c r="D67" s="3">
        <v>2</v>
      </c>
      <c r="E67" s="4">
        <v>64</v>
      </c>
      <c r="F67" s="3" t="s">
        <v>87</v>
      </c>
      <c r="G67" s="3">
        <v>0</v>
      </c>
      <c r="H67" s="3">
        <v>0</v>
      </c>
      <c r="I67" s="4">
        <v>902</v>
      </c>
      <c r="J67" s="4">
        <v>1514</v>
      </c>
      <c r="K67" s="4">
        <v>2416</v>
      </c>
      <c r="L67" s="5">
        <f>IF(F67="F",65.79,IF(F67="M",79.94,""))</f>
        <v>65.790000000000006</v>
      </c>
      <c r="M67" s="3">
        <f t="shared" si="7"/>
        <v>1</v>
      </c>
      <c r="N67" s="3" t="str">
        <f t="shared" si="8"/>
        <v>VSC-halitosis</v>
      </c>
      <c r="O67" s="3" t="str">
        <f t="shared" si="9"/>
        <v>Clinical- / VSC+</v>
      </c>
      <c r="P67" s="5">
        <f t="shared" si="10"/>
        <v>7.7898685590547059</v>
      </c>
      <c r="Q67" s="5">
        <f t="shared" si="11"/>
        <v>6.8057225534169854</v>
      </c>
      <c r="R67" s="5">
        <f t="shared" si="11"/>
        <v>7.3231707179434693</v>
      </c>
      <c r="S67" s="5">
        <f t="shared" si="12"/>
        <v>0.6266556291390728</v>
      </c>
      <c r="T67" s="3">
        <f t="shared" si="13"/>
        <v>1</v>
      </c>
      <c r="U67" s="3" t="s">
        <v>96</v>
      </c>
      <c r="V67" s="3">
        <v>3</v>
      </c>
      <c r="W67" s="6"/>
      <c r="X67" s="4">
        <v>6</v>
      </c>
      <c r="Y67" s="5">
        <v>0.05</v>
      </c>
      <c r="Z67" s="5">
        <v>1</v>
      </c>
      <c r="AA67" s="3" t="s">
        <v>88</v>
      </c>
      <c r="AB67" s="3">
        <v>0</v>
      </c>
      <c r="AC67" s="3" t="s">
        <v>113</v>
      </c>
      <c r="AD67" s="3">
        <v>0</v>
      </c>
      <c r="AE67" s="3" t="s">
        <v>98</v>
      </c>
      <c r="AF67" s="3">
        <v>0</v>
      </c>
      <c r="AG67" s="3" t="s">
        <v>98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7"/>
      <c r="BX67" s="7" t="s">
        <v>280</v>
      </c>
    </row>
    <row r="68" spans="1:76">
      <c r="A68" s="3" t="s">
        <v>282</v>
      </c>
      <c r="B68" s="3">
        <v>6683</v>
      </c>
      <c r="C68" s="3" t="s">
        <v>283</v>
      </c>
      <c r="D68" s="3">
        <v>1</v>
      </c>
      <c r="E68" s="4">
        <v>35</v>
      </c>
      <c r="F68" s="3" t="s">
        <v>87</v>
      </c>
      <c r="G68" s="3">
        <v>0</v>
      </c>
      <c r="H68" s="3">
        <v>0</v>
      </c>
      <c r="I68" s="4">
        <v>0</v>
      </c>
      <c r="J68" s="4">
        <v>2</v>
      </c>
      <c r="K68" s="4">
        <v>2</v>
      </c>
      <c r="L68" s="5">
        <f>IF(F68="F",65.79,IF(F68="M",79.94,""))</f>
        <v>65.790000000000006</v>
      </c>
      <c r="M68" s="3">
        <f t="shared" si="7"/>
        <v>0</v>
      </c>
      <c r="N68" s="3" t="str">
        <f t="shared" si="8"/>
        <v>VSC-non-halitosis</v>
      </c>
      <c r="O68" s="3" t="str">
        <f t="shared" si="9"/>
        <v>Clinical- / VSC-</v>
      </c>
      <c r="P68" s="5">
        <f t="shared" si="10"/>
        <v>0.69314718055994529</v>
      </c>
      <c r="Q68" s="5">
        <f t="shared" si="11"/>
        <v>0</v>
      </c>
      <c r="R68" s="5">
        <f t="shared" si="11"/>
        <v>1.0986122886681098</v>
      </c>
      <c r="S68" s="5">
        <f t="shared" si="12"/>
        <v>1</v>
      </c>
      <c r="T68" s="3">
        <f t="shared" si="13"/>
        <v>1</v>
      </c>
      <c r="U68" s="3" t="s">
        <v>102</v>
      </c>
      <c r="V68" s="3">
        <v>1</v>
      </c>
      <c r="W68" s="6">
        <v>6.8</v>
      </c>
      <c r="X68" s="4">
        <v>9</v>
      </c>
      <c r="Y68" s="5">
        <v>0.5</v>
      </c>
      <c r="Z68" s="5">
        <v>1.4</v>
      </c>
      <c r="AA68" s="3" t="s">
        <v>80</v>
      </c>
      <c r="AB68" s="3">
        <v>0</v>
      </c>
      <c r="AC68" s="3" t="s">
        <v>113</v>
      </c>
      <c r="AD68" s="3">
        <v>0</v>
      </c>
      <c r="AE68" s="3" t="s">
        <v>98</v>
      </c>
      <c r="AF68" s="3">
        <v>0</v>
      </c>
      <c r="AG68" s="3" t="s">
        <v>98</v>
      </c>
      <c r="AH68" s="3">
        <v>0</v>
      </c>
      <c r="AI68" s="3">
        <v>1</v>
      </c>
      <c r="AJ68" s="3">
        <v>1</v>
      </c>
      <c r="AK68" s="3">
        <v>0</v>
      </c>
      <c r="AL68" s="3">
        <v>0</v>
      </c>
      <c r="AM68" s="3">
        <v>0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1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7" t="s">
        <v>284</v>
      </c>
      <c r="BX68" s="7" t="s">
        <v>80</v>
      </c>
    </row>
    <row r="69" spans="1:76">
      <c r="A69" s="3" t="s">
        <v>285</v>
      </c>
      <c r="B69" s="3">
        <v>6107</v>
      </c>
      <c r="C69" s="3" t="s">
        <v>286</v>
      </c>
      <c r="D69" s="3">
        <v>1</v>
      </c>
      <c r="E69" s="4">
        <v>50</v>
      </c>
      <c r="F69" s="3" t="s">
        <v>87</v>
      </c>
      <c r="G69" s="3">
        <v>0</v>
      </c>
      <c r="H69" s="3">
        <v>0</v>
      </c>
      <c r="I69" s="4">
        <v>7</v>
      </c>
      <c r="J69" s="4">
        <v>5</v>
      </c>
      <c r="K69" s="4">
        <v>12</v>
      </c>
      <c r="L69" s="5">
        <f>IF(F69="F",65.79,IF(F69="M",79.94,""))</f>
        <v>65.790000000000006</v>
      </c>
      <c r="M69" s="3">
        <f t="shared" si="7"/>
        <v>0</v>
      </c>
      <c r="N69" s="3" t="str">
        <f t="shared" si="8"/>
        <v>VSC-non-halitosis</v>
      </c>
      <c r="O69" s="3" t="str">
        <f t="shared" si="9"/>
        <v>Clinical- / VSC-</v>
      </c>
      <c r="P69" s="5">
        <f t="shared" si="10"/>
        <v>2.4849066497880004</v>
      </c>
      <c r="Q69" s="5">
        <f t="shared" si="11"/>
        <v>2.0794415416798357</v>
      </c>
      <c r="R69" s="5">
        <f t="shared" si="11"/>
        <v>1.791759469228055</v>
      </c>
      <c r="S69" s="5">
        <f t="shared" si="12"/>
        <v>0.41666666666666669</v>
      </c>
      <c r="T69" s="3">
        <f t="shared" si="13"/>
        <v>0</v>
      </c>
      <c r="U69" s="3" t="s">
        <v>79</v>
      </c>
      <c r="V69" s="3">
        <v>2</v>
      </c>
      <c r="W69" s="6">
        <v>6.6</v>
      </c>
      <c r="X69" s="4">
        <v>10</v>
      </c>
      <c r="Y69" s="5">
        <v>0.45</v>
      </c>
      <c r="Z69" s="5">
        <v>0.9</v>
      </c>
      <c r="AA69" s="3" t="s">
        <v>80</v>
      </c>
      <c r="AB69" s="3">
        <v>0</v>
      </c>
      <c r="AC69" s="3" t="s">
        <v>81</v>
      </c>
      <c r="AD69" s="3">
        <v>0</v>
      </c>
      <c r="AE69" s="3" t="s">
        <v>82</v>
      </c>
      <c r="AF69" s="3">
        <v>1</v>
      </c>
      <c r="AG69" s="3" t="s">
        <v>82</v>
      </c>
      <c r="AH69" s="3">
        <v>1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7" t="s">
        <v>119</v>
      </c>
      <c r="BX69" s="7" t="s">
        <v>119</v>
      </c>
    </row>
    <row r="70" spans="1:76">
      <c r="A70" s="3" t="s">
        <v>287</v>
      </c>
      <c r="B70" s="3">
        <v>5865</v>
      </c>
      <c r="C70" s="3" t="s">
        <v>288</v>
      </c>
      <c r="D70" s="3">
        <v>1</v>
      </c>
      <c r="E70" s="4">
        <v>65</v>
      </c>
      <c r="F70" s="3" t="s">
        <v>78</v>
      </c>
      <c r="G70" s="3">
        <v>0</v>
      </c>
      <c r="H70" s="3">
        <v>0</v>
      </c>
      <c r="I70" s="4">
        <v>0</v>
      </c>
      <c r="J70" s="4">
        <v>1</v>
      </c>
      <c r="K70" s="4">
        <v>1</v>
      </c>
      <c r="L70" s="5">
        <f>IF(F70="F",65.79,IF(F70="M",79.94,""))</f>
        <v>79.94</v>
      </c>
      <c r="M70" s="3">
        <f t="shared" si="7"/>
        <v>0</v>
      </c>
      <c r="N70" s="3" t="str">
        <f t="shared" si="8"/>
        <v>VSC-non-halitosis</v>
      </c>
      <c r="O70" s="3" t="str">
        <f t="shared" si="9"/>
        <v>Clinical- / VSC-</v>
      </c>
      <c r="P70" s="5">
        <f t="shared" si="10"/>
        <v>0</v>
      </c>
      <c r="Q70" s="5">
        <f t="shared" si="11"/>
        <v>0</v>
      </c>
      <c r="R70" s="5">
        <f t="shared" si="11"/>
        <v>0.69314718055994529</v>
      </c>
      <c r="S70" s="5">
        <f t="shared" si="12"/>
        <v>1</v>
      </c>
      <c r="T70" s="3">
        <f t="shared" si="13"/>
        <v>1</v>
      </c>
      <c r="U70" s="3" t="s">
        <v>102</v>
      </c>
      <c r="V70" s="3">
        <v>1</v>
      </c>
      <c r="W70" s="6">
        <v>6.2</v>
      </c>
      <c r="X70" s="4">
        <v>10</v>
      </c>
      <c r="Y70" s="5">
        <v>0.5</v>
      </c>
      <c r="Z70" s="5">
        <v>1.4</v>
      </c>
      <c r="AA70" s="3" t="s">
        <v>80</v>
      </c>
      <c r="AB70" s="3">
        <v>0</v>
      </c>
      <c r="AC70" s="3" t="s">
        <v>81</v>
      </c>
      <c r="AD70" s="3">
        <v>0</v>
      </c>
      <c r="AE70" s="3" t="s">
        <v>98</v>
      </c>
      <c r="AF70" s="3">
        <v>0</v>
      </c>
      <c r="AG70" s="3" t="s">
        <v>82</v>
      </c>
      <c r="AH70" s="3">
        <v>1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7" t="s">
        <v>80</v>
      </c>
      <c r="BX70" s="7" t="s">
        <v>289</v>
      </c>
    </row>
    <row r="71" spans="1:76">
      <c r="A71" s="3" t="s">
        <v>290</v>
      </c>
      <c r="B71" s="3">
        <v>4756</v>
      </c>
      <c r="C71" s="3" t="s">
        <v>291</v>
      </c>
      <c r="D71" s="3">
        <v>2</v>
      </c>
      <c r="E71" s="4">
        <v>38</v>
      </c>
      <c r="F71" s="3" t="s">
        <v>87</v>
      </c>
      <c r="G71" s="3">
        <v>1</v>
      </c>
      <c r="H71" s="3">
        <v>0</v>
      </c>
      <c r="I71" s="4">
        <v>2</v>
      </c>
      <c r="J71" s="4">
        <v>0</v>
      </c>
      <c r="K71" s="4">
        <v>2</v>
      </c>
      <c r="L71" s="5">
        <f>IF(F71="F",65.79,IF(F71="M",79.94,""))</f>
        <v>65.790000000000006</v>
      </c>
      <c r="M71" s="3">
        <f t="shared" si="7"/>
        <v>0</v>
      </c>
      <c r="N71" s="3" t="str">
        <f t="shared" si="8"/>
        <v>VSC-non-halitosis</v>
      </c>
      <c r="O71" s="3" t="str">
        <f t="shared" si="9"/>
        <v>Clinical+ / VSC-</v>
      </c>
      <c r="P71" s="5">
        <f t="shared" si="10"/>
        <v>0.69314718055994529</v>
      </c>
      <c r="Q71" s="5">
        <f t="shared" si="11"/>
        <v>1.0986122886681098</v>
      </c>
      <c r="R71" s="5">
        <f t="shared" si="11"/>
        <v>0</v>
      </c>
      <c r="S71" s="5">
        <f t="shared" si="12"/>
        <v>0</v>
      </c>
      <c r="T71" s="3">
        <f t="shared" si="13"/>
        <v>0</v>
      </c>
      <c r="U71" s="3" t="s">
        <v>102</v>
      </c>
      <c r="V71" s="3">
        <v>1</v>
      </c>
      <c r="W71" s="6"/>
      <c r="X71" s="4">
        <v>8</v>
      </c>
      <c r="Y71" s="5">
        <v>1</v>
      </c>
      <c r="Z71" s="5">
        <v>2.5</v>
      </c>
      <c r="AA71" s="3" t="s">
        <v>80</v>
      </c>
      <c r="AB71" s="3">
        <v>0</v>
      </c>
      <c r="AC71" s="3" t="s">
        <v>81</v>
      </c>
      <c r="AD71" s="3">
        <v>0</v>
      </c>
      <c r="AE71" s="3" t="s">
        <v>82</v>
      </c>
      <c r="AF71" s="3">
        <v>1</v>
      </c>
      <c r="AG71" s="3" t="s">
        <v>82</v>
      </c>
      <c r="AH71" s="3">
        <v>1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7" t="s">
        <v>80</v>
      </c>
      <c r="BX71" s="7"/>
    </row>
    <row r="72" spans="1:76">
      <c r="A72" s="3" t="s">
        <v>292</v>
      </c>
      <c r="B72" s="3">
        <v>4756</v>
      </c>
      <c r="C72" s="3" t="s">
        <v>291</v>
      </c>
      <c r="D72" s="3">
        <v>2</v>
      </c>
      <c r="E72" s="4">
        <v>38</v>
      </c>
      <c r="F72" s="3" t="s">
        <v>87</v>
      </c>
      <c r="G72" s="3">
        <v>1</v>
      </c>
      <c r="H72" s="3">
        <v>0</v>
      </c>
      <c r="I72" s="4">
        <v>1</v>
      </c>
      <c r="J72" s="4">
        <v>0</v>
      </c>
      <c r="K72" s="4">
        <v>1</v>
      </c>
      <c r="L72" s="5">
        <f>IF(F72="F",65.79,IF(F72="M",79.94,""))</f>
        <v>65.790000000000006</v>
      </c>
      <c r="M72" s="3">
        <f t="shared" si="7"/>
        <v>0</v>
      </c>
      <c r="N72" s="3" t="str">
        <f t="shared" si="8"/>
        <v>VSC-non-halitosis</v>
      </c>
      <c r="O72" s="3" t="str">
        <f t="shared" si="9"/>
        <v>Clinical+ / VSC-</v>
      </c>
      <c r="P72" s="5">
        <f t="shared" si="10"/>
        <v>0</v>
      </c>
      <c r="Q72" s="5">
        <f t="shared" si="11"/>
        <v>0.69314718055994529</v>
      </c>
      <c r="R72" s="5">
        <f t="shared" si="11"/>
        <v>0</v>
      </c>
      <c r="S72" s="5">
        <f t="shared" si="12"/>
        <v>0</v>
      </c>
      <c r="T72" s="3">
        <f t="shared" si="13"/>
        <v>0</v>
      </c>
      <c r="U72" s="3" t="s">
        <v>102</v>
      </c>
      <c r="V72" s="3">
        <v>1</v>
      </c>
      <c r="W72" s="6"/>
      <c r="X72" s="4">
        <v>8</v>
      </c>
      <c r="Y72" s="5">
        <v>1</v>
      </c>
      <c r="Z72" s="5">
        <v>2.5</v>
      </c>
      <c r="AA72" s="3" t="s">
        <v>80</v>
      </c>
      <c r="AB72" s="3">
        <v>0</v>
      </c>
      <c r="AC72" s="3" t="s">
        <v>81</v>
      </c>
      <c r="AD72" s="3">
        <v>0</v>
      </c>
      <c r="AE72" s="3" t="s">
        <v>82</v>
      </c>
      <c r="AF72" s="3">
        <v>1</v>
      </c>
      <c r="AG72" s="3" t="s">
        <v>82</v>
      </c>
      <c r="AH72" s="3">
        <v>1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7" t="s">
        <v>80</v>
      </c>
      <c r="BX72" s="7"/>
    </row>
    <row r="73" spans="1:76">
      <c r="A73" s="3" t="s">
        <v>293</v>
      </c>
      <c r="B73" s="3">
        <v>5791</v>
      </c>
      <c r="C73" s="3" t="s">
        <v>294</v>
      </c>
      <c r="D73" s="3">
        <v>1</v>
      </c>
      <c r="E73" s="4">
        <v>41</v>
      </c>
      <c r="F73" s="3" t="s">
        <v>87</v>
      </c>
      <c r="G73" s="3">
        <v>0</v>
      </c>
      <c r="H73" s="3">
        <v>0</v>
      </c>
      <c r="I73" s="4">
        <v>1</v>
      </c>
      <c r="J73" s="4">
        <v>0</v>
      </c>
      <c r="K73" s="4">
        <v>1</v>
      </c>
      <c r="L73" s="5">
        <f>IF(F73="F",65.79,IF(F73="M",79.94,""))</f>
        <v>65.790000000000006</v>
      </c>
      <c r="M73" s="3">
        <f t="shared" si="7"/>
        <v>0</v>
      </c>
      <c r="N73" s="3" t="str">
        <f t="shared" si="8"/>
        <v>VSC-non-halitosis</v>
      </c>
      <c r="O73" s="3" t="str">
        <f t="shared" si="9"/>
        <v>Clinical- / VSC-</v>
      </c>
      <c r="P73" s="5">
        <f t="shared" si="10"/>
        <v>0</v>
      </c>
      <c r="Q73" s="5">
        <f t="shared" si="11"/>
        <v>0.69314718055994529</v>
      </c>
      <c r="R73" s="5">
        <f t="shared" si="11"/>
        <v>0</v>
      </c>
      <c r="S73" s="5">
        <f t="shared" si="12"/>
        <v>0</v>
      </c>
      <c r="T73" s="3">
        <f t="shared" si="13"/>
        <v>0</v>
      </c>
      <c r="U73" s="3" t="s">
        <v>102</v>
      </c>
      <c r="V73" s="3">
        <v>1</v>
      </c>
      <c r="W73" s="6">
        <v>6</v>
      </c>
      <c r="X73" s="4">
        <v>12</v>
      </c>
      <c r="Y73" s="5">
        <v>0.25</v>
      </c>
      <c r="Z73" s="5">
        <v>1</v>
      </c>
      <c r="AA73" s="3" t="s">
        <v>108</v>
      </c>
      <c r="AB73" s="3">
        <v>1</v>
      </c>
      <c r="AC73" s="3" t="s">
        <v>81</v>
      </c>
      <c r="AD73" s="3">
        <v>0</v>
      </c>
      <c r="AE73" s="3" t="s">
        <v>98</v>
      </c>
      <c r="AF73" s="3">
        <v>0</v>
      </c>
      <c r="AG73" s="3" t="s">
        <v>82</v>
      </c>
      <c r="AH73" s="3">
        <v>1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7"/>
      <c r="BX73" s="7" t="s">
        <v>295</v>
      </c>
    </row>
    <row r="74" spans="1:76" ht="34">
      <c r="A74" s="3" t="s">
        <v>296</v>
      </c>
      <c r="B74" s="3">
        <v>6717</v>
      </c>
      <c r="C74" s="3" t="s">
        <v>297</v>
      </c>
      <c r="D74" s="3">
        <v>1</v>
      </c>
      <c r="E74" s="4">
        <v>70</v>
      </c>
      <c r="F74" s="3" t="s">
        <v>87</v>
      </c>
      <c r="G74" s="3">
        <v>0</v>
      </c>
      <c r="H74" s="3">
        <v>0</v>
      </c>
      <c r="I74" s="4">
        <v>0</v>
      </c>
      <c r="J74" s="4">
        <v>2</v>
      </c>
      <c r="K74" s="4">
        <v>2</v>
      </c>
      <c r="L74" s="5">
        <f>IF(F74="F",65.79,IF(F74="M",79.94,""))</f>
        <v>65.790000000000006</v>
      </c>
      <c r="M74" s="3">
        <f t="shared" si="7"/>
        <v>0</v>
      </c>
      <c r="N74" s="3" t="str">
        <f t="shared" si="8"/>
        <v>VSC-non-halitosis</v>
      </c>
      <c r="O74" s="3" t="str">
        <f t="shared" si="9"/>
        <v>Clinical- / VSC-</v>
      </c>
      <c r="P74" s="5">
        <f t="shared" si="10"/>
        <v>0.69314718055994529</v>
      </c>
      <c r="Q74" s="5">
        <f t="shared" si="11"/>
        <v>0</v>
      </c>
      <c r="R74" s="5">
        <f t="shared" si="11"/>
        <v>1.0986122886681098</v>
      </c>
      <c r="S74" s="5">
        <f t="shared" si="12"/>
        <v>1</v>
      </c>
      <c r="T74" s="3">
        <f t="shared" si="13"/>
        <v>1</v>
      </c>
      <c r="U74" s="3" t="s">
        <v>102</v>
      </c>
      <c r="V74" s="3">
        <v>1</v>
      </c>
      <c r="W74" s="6">
        <v>7.6</v>
      </c>
      <c r="X74" s="4">
        <v>9</v>
      </c>
      <c r="Y74" s="5">
        <v>0.2</v>
      </c>
      <c r="Z74" s="5">
        <v>1</v>
      </c>
      <c r="AA74" s="3" t="s">
        <v>80</v>
      </c>
      <c r="AB74" s="3">
        <v>0</v>
      </c>
      <c r="AC74" s="3" t="s">
        <v>113</v>
      </c>
      <c r="AD74" s="3">
        <v>0</v>
      </c>
      <c r="AE74" s="3" t="s">
        <v>98</v>
      </c>
      <c r="AF74" s="3">
        <v>0</v>
      </c>
      <c r="AG74" s="3" t="s">
        <v>98</v>
      </c>
      <c r="AH74" s="3">
        <v>0</v>
      </c>
      <c r="AI74" s="3">
        <v>2</v>
      </c>
      <c r="AJ74" s="3">
        <v>2</v>
      </c>
      <c r="AK74" s="3">
        <v>1</v>
      </c>
      <c r="AL74" s="3">
        <v>1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1</v>
      </c>
      <c r="BG74" s="3">
        <v>0</v>
      </c>
      <c r="BH74" s="3">
        <v>0</v>
      </c>
      <c r="BI74" s="3">
        <v>0</v>
      </c>
      <c r="BJ74" s="3">
        <v>1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7" t="s">
        <v>298</v>
      </c>
      <c r="BX74" s="7" t="s">
        <v>299</v>
      </c>
    </row>
    <row r="75" spans="1:76">
      <c r="A75" s="3" t="s">
        <v>300</v>
      </c>
      <c r="B75" s="3">
        <v>5280</v>
      </c>
      <c r="C75" s="3" t="s">
        <v>301</v>
      </c>
      <c r="D75" s="3">
        <v>1</v>
      </c>
      <c r="E75" s="4">
        <v>81</v>
      </c>
      <c r="F75" s="3" t="s">
        <v>87</v>
      </c>
      <c r="G75" s="3">
        <v>0</v>
      </c>
      <c r="H75" s="3">
        <v>0</v>
      </c>
      <c r="I75" s="4">
        <v>2</v>
      </c>
      <c r="J75" s="4">
        <v>0</v>
      </c>
      <c r="K75" s="4">
        <v>2</v>
      </c>
      <c r="L75" s="5">
        <f>IF(F75="F",65.79,IF(F75="M",79.94,""))</f>
        <v>65.790000000000006</v>
      </c>
      <c r="M75" s="3">
        <f t="shared" si="7"/>
        <v>0</v>
      </c>
      <c r="N75" s="3" t="str">
        <f t="shared" si="8"/>
        <v>VSC-non-halitosis</v>
      </c>
      <c r="O75" s="3" t="str">
        <f t="shared" si="9"/>
        <v>Clinical- / VSC-</v>
      </c>
      <c r="P75" s="5">
        <f t="shared" si="10"/>
        <v>0.69314718055994529</v>
      </c>
      <c r="Q75" s="5">
        <f t="shared" si="11"/>
        <v>1.0986122886681098</v>
      </c>
      <c r="R75" s="5">
        <f t="shared" si="11"/>
        <v>0</v>
      </c>
      <c r="S75" s="5">
        <f t="shared" si="12"/>
        <v>0</v>
      </c>
      <c r="T75" s="3">
        <f t="shared" si="13"/>
        <v>0</v>
      </c>
      <c r="U75" s="3" t="s">
        <v>102</v>
      </c>
      <c r="V75" s="3">
        <v>1</v>
      </c>
      <c r="W75" s="6">
        <v>7</v>
      </c>
      <c r="X75" s="4">
        <v>9</v>
      </c>
      <c r="Y75" s="5">
        <v>0.5</v>
      </c>
      <c r="Z75" s="5">
        <v>2.5</v>
      </c>
      <c r="AA75" s="3" t="s">
        <v>208</v>
      </c>
      <c r="AB75" s="3">
        <v>1</v>
      </c>
      <c r="AC75" s="3" t="s">
        <v>81</v>
      </c>
      <c r="AD75" s="3">
        <v>0</v>
      </c>
      <c r="AE75" s="3" t="s">
        <v>98</v>
      </c>
      <c r="AF75" s="3">
        <v>0</v>
      </c>
      <c r="AG75" s="3" t="s">
        <v>103</v>
      </c>
      <c r="AH75" s="3">
        <v>1</v>
      </c>
      <c r="AI75" s="3">
        <v>3</v>
      </c>
      <c r="AJ75" s="3">
        <v>1</v>
      </c>
      <c r="AK75" s="3">
        <v>0</v>
      </c>
      <c r="AL75" s="3">
        <v>1</v>
      </c>
      <c r="AM75" s="3">
        <v>0</v>
      </c>
      <c r="AN75" s="3">
        <v>1</v>
      </c>
      <c r="AO75" s="3">
        <v>1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7" t="s">
        <v>146</v>
      </c>
      <c r="BX75" s="7" t="s">
        <v>302</v>
      </c>
    </row>
    <row r="76" spans="1:76">
      <c r="A76" s="3" t="s">
        <v>303</v>
      </c>
      <c r="B76" s="3">
        <v>5318</v>
      </c>
      <c r="C76" s="3" t="s">
        <v>304</v>
      </c>
      <c r="D76" s="3">
        <v>1</v>
      </c>
      <c r="E76" s="4">
        <v>75</v>
      </c>
      <c r="F76" s="3" t="s">
        <v>78</v>
      </c>
      <c r="G76" s="3">
        <v>0</v>
      </c>
      <c r="H76" s="3">
        <v>0</v>
      </c>
      <c r="I76" s="4">
        <v>0</v>
      </c>
      <c r="J76" s="4">
        <v>1</v>
      </c>
      <c r="K76" s="4">
        <v>1</v>
      </c>
      <c r="L76" s="5">
        <f>IF(F76="F",65.79,IF(F76="M",79.94,""))</f>
        <v>79.94</v>
      </c>
      <c r="M76" s="3">
        <f t="shared" si="7"/>
        <v>0</v>
      </c>
      <c r="N76" s="3" t="str">
        <f t="shared" si="8"/>
        <v>VSC-non-halitosis</v>
      </c>
      <c r="O76" s="3" t="str">
        <f t="shared" si="9"/>
        <v>Clinical- / VSC-</v>
      </c>
      <c r="P76" s="5">
        <f t="shared" si="10"/>
        <v>0</v>
      </c>
      <c r="Q76" s="5">
        <f t="shared" si="11"/>
        <v>0</v>
      </c>
      <c r="R76" s="5">
        <f t="shared" si="11"/>
        <v>0.69314718055994529</v>
      </c>
      <c r="S76" s="5">
        <f t="shared" si="12"/>
        <v>1</v>
      </c>
      <c r="T76" s="3">
        <f t="shared" si="13"/>
        <v>1</v>
      </c>
      <c r="U76" s="3" t="s">
        <v>102</v>
      </c>
      <c r="V76" s="3">
        <v>1</v>
      </c>
      <c r="W76" s="6"/>
      <c r="X76" s="4">
        <v>0</v>
      </c>
      <c r="Y76" s="5">
        <v>0</v>
      </c>
      <c r="Z76" s="5">
        <v>0.8</v>
      </c>
      <c r="AA76" s="3" t="s">
        <v>88</v>
      </c>
      <c r="AB76" s="3">
        <v>0</v>
      </c>
      <c r="AC76" s="3" t="s">
        <v>138</v>
      </c>
      <c r="AD76" s="3">
        <v>1</v>
      </c>
      <c r="AE76" s="3" t="s">
        <v>82</v>
      </c>
      <c r="AF76" s="3">
        <v>1</v>
      </c>
      <c r="AG76" s="3" t="s">
        <v>103</v>
      </c>
      <c r="AH76" s="3">
        <v>1</v>
      </c>
      <c r="AI76" s="3">
        <v>3</v>
      </c>
      <c r="AJ76" s="3">
        <v>0</v>
      </c>
      <c r="AK76" s="3">
        <v>0</v>
      </c>
      <c r="AL76" s="3">
        <v>1</v>
      </c>
      <c r="AM76" s="3">
        <v>1</v>
      </c>
      <c r="AN76" s="3">
        <v>0</v>
      </c>
      <c r="AO76" s="3">
        <v>0</v>
      </c>
      <c r="AP76" s="3">
        <v>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7" t="s">
        <v>305</v>
      </c>
      <c r="BX76" s="7"/>
    </row>
    <row r="77" spans="1:76">
      <c r="A77" s="3" t="s">
        <v>306</v>
      </c>
      <c r="B77" s="3">
        <v>3674</v>
      </c>
      <c r="C77" s="3" t="s">
        <v>307</v>
      </c>
      <c r="D77" s="3">
        <v>1</v>
      </c>
      <c r="E77" s="4">
        <v>69</v>
      </c>
      <c r="F77" s="3" t="s">
        <v>87</v>
      </c>
      <c r="G77" s="3">
        <v>0</v>
      </c>
      <c r="H77" s="3">
        <v>0</v>
      </c>
      <c r="I77" s="4">
        <v>1</v>
      </c>
      <c r="J77" s="4">
        <v>46</v>
      </c>
      <c r="K77" s="4">
        <v>47</v>
      </c>
      <c r="L77" s="5">
        <f>IF(F77="F",65.79,IF(F77="M",79.94,""))</f>
        <v>65.790000000000006</v>
      </c>
      <c r="M77" s="3">
        <f t="shared" si="7"/>
        <v>0</v>
      </c>
      <c r="N77" s="3" t="str">
        <f t="shared" si="8"/>
        <v>VSC-non-halitosis</v>
      </c>
      <c r="O77" s="3" t="str">
        <f t="shared" si="9"/>
        <v>Clinical- / VSC-</v>
      </c>
      <c r="P77" s="5">
        <f t="shared" si="10"/>
        <v>3.8501476017100584</v>
      </c>
      <c r="Q77" s="5">
        <f t="shared" si="11"/>
        <v>0.69314718055994529</v>
      </c>
      <c r="R77" s="5">
        <f t="shared" si="11"/>
        <v>3.8501476017100584</v>
      </c>
      <c r="S77" s="5">
        <f t="shared" si="12"/>
        <v>0.97872340425531912</v>
      </c>
      <c r="T77" s="3">
        <f t="shared" si="13"/>
        <v>1</v>
      </c>
      <c r="U77" s="3" t="s">
        <v>96</v>
      </c>
      <c r="V77" s="3">
        <v>3</v>
      </c>
      <c r="W77" s="6">
        <v>5.2</v>
      </c>
      <c r="X77" s="4">
        <v>4</v>
      </c>
      <c r="Y77" s="5">
        <v>0.1</v>
      </c>
      <c r="Z77" s="5">
        <v>0.8</v>
      </c>
      <c r="AA77" s="3" t="s">
        <v>80</v>
      </c>
      <c r="AB77" s="3">
        <v>0</v>
      </c>
      <c r="AC77" s="3" t="s">
        <v>81</v>
      </c>
      <c r="AD77" s="3">
        <v>0</v>
      </c>
      <c r="AE77" s="3" t="s">
        <v>82</v>
      </c>
      <c r="AF77" s="3">
        <v>1</v>
      </c>
      <c r="AG77" s="3" t="s">
        <v>82</v>
      </c>
      <c r="AH77" s="3">
        <v>1</v>
      </c>
      <c r="AI77" s="3">
        <v>4</v>
      </c>
      <c r="AJ77" s="3">
        <v>1</v>
      </c>
      <c r="AK77" s="3">
        <v>0</v>
      </c>
      <c r="AL77" s="3">
        <v>1</v>
      </c>
      <c r="AM77" s="3">
        <v>1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1</v>
      </c>
      <c r="BF77" s="3">
        <v>1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7" t="s">
        <v>134</v>
      </c>
      <c r="BX77" s="7" t="s">
        <v>308</v>
      </c>
    </row>
    <row r="78" spans="1:76">
      <c r="A78" s="3" t="s">
        <v>309</v>
      </c>
      <c r="B78" s="3">
        <v>3064</v>
      </c>
      <c r="C78" s="3" t="s">
        <v>310</v>
      </c>
      <c r="D78" s="3">
        <v>1</v>
      </c>
      <c r="E78" s="4">
        <v>76</v>
      </c>
      <c r="F78" s="3" t="s">
        <v>87</v>
      </c>
      <c r="G78" s="3">
        <v>0</v>
      </c>
      <c r="H78" s="3">
        <v>0</v>
      </c>
      <c r="I78" s="4">
        <v>25</v>
      </c>
      <c r="J78" s="4">
        <v>7</v>
      </c>
      <c r="K78" s="4">
        <v>32</v>
      </c>
      <c r="L78" s="5">
        <f>IF(F78="F",65.79,IF(F78="M",79.94,""))</f>
        <v>65.790000000000006</v>
      </c>
      <c r="M78" s="3">
        <f t="shared" si="7"/>
        <v>0</v>
      </c>
      <c r="N78" s="3" t="str">
        <f t="shared" si="8"/>
        <v>VSC-non-halitosis</v>
      </c>
      <c r="O78" s="3" t="str">
        <f t="shared" si="9"/>
        <v>Clinical- / VSC-</v>
      </c>
      <c r="P78" s="5">
        <f t="shared" si="10"/>
        <v>3.4657359027997265</v>
      </c>
      <c r="Q78" s="5">
        <f t="shared" si="11"/>
        <v>3.2580965380214821</v>
      </c>
      <c r="R78" s="5">
        <f t="shared" si="11"/>
        <v>2.0794415416798357</v>
      </c>
      <c r="S78" s="5">
        <f t="shared" si="12"/>
        <v>0.21875</v>
      </c>
      <c r="T78" s="3">
        <f t="shared" si="13"/>
        <v>0</v>
      </c>
      <c r="U78" s="3" t="s">
        <v>96</v>
      </c>
      <c r="V78" s="3">
        <v>3</v>
      </c>
      <c r="W78" s="6">
        <v>6.2</v>
      </c>
      <c r="X78" s="4">
        <v>10</v>
      </c>
      <c r="Y78" s="5">
        <v>0.2</v>
      </c>
      <c r="Z78" s="5">
        <v>0.9</v>
      </c>
      <c r="AA78" s="3" t="s">
        <v>80</v>
      </c>
      <c r="AB78" s="3">
        <v>0</v>
      </c>
      <c r="AC78" s="3" t="s">
        <v>89</v>
      </c>
      <c r="AD78" s="3">
        <v>1</v>
      </c>
      <c r="AE78" s="3" t="s">
        <v>82</v>
      </c>
      <c r="AF78" s="3">
        <v>1</v>
      </c>
      <c r="AG78" s="3" t="s">
        <v>103</v>
      </c>
      <c r="AH78" s="3">
        <v>1</v>
      </c>
      <c r="AI78" s="3">
        <v>1</v>
      </c>
      <c r="AJ78" s="3">
        <v>2</v>
      </c>
      <c r="AK78" s="3">
        <v>2</v>
      </c>
      <c r="AL78" s="3">
        <v>1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1</v>
      </c>
      <c r="BH78" s="3">
        <v>0</v>
      </c>
      <c r="BI78" s="3">
        <v>0</v>
      </c>
      <c r="BJ78" s="3">
        <v>1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7" t="s">
        <v>186</v>
      </c>
      <c r="BX78" s="7" t="s">
        <v>311</v>
      </c>
    </row>
    <row r="79" spans="1:76" ht="34">
      <c r="A79" s="3" t="s">
        <v>312</v>
      </c>
      <c r="B79" s="3">
        <v>3548</v>
      </c>
      <c r="C79" s="3" t="s">
        <v>313</v>
      </c>
      <c r="D79" s="3">
        <v>4</v>
      </c>
      <c r="E79" s="4">
        <v>73</v>
      </c>
      <c r="F79" s="3" t="s">
        <v>87</v>
      </c>
      <c r="G79" s="3">
        <v>0</v>
      </c>
      <c r="H79" s="3">
        <v>0</v>
      </c>
      <c r="I79" s="4">
        <v>20</v>
      </c>
      <c r="J79" s="4">
        <v>9</v>
      </c>
      <c r="K79" s="4">
        <v>29</v>
      </c>
      <c r="L79" s="5">
        <f>IF(F79="F",65.79,IF(F79="M",79.94,""))</f>
        <v>65.790000000000006</v>
      </c>
      <c r="M79" s="3">
        <f t="shared" si="7"/>
        <v>0</v>
      </c>
      <c r="N79" s="3" t="str">
        <f t="shared" si="8"/>
        <v>VSC-non-halitosis</v>
      </c>
      <c r="O79" s="3" t="str">
        <f t="shared" si="9"/>
        <v>Clinical- / VSC-</v>
      </c>
      <c r="P79" s="5">
        <f t="shared" si="10"/>
        <v>3.3672958299864741</v>
      </c>
      <c r="Q79" s="5">
        <f t="shared" si="11"/>
        <v>3.044522437723423</v>
      </c>
      <c r="R79" s="5">
        <f t="shared" si="11"/>
        <v>2.3025850929940459</v>
      </c>
      <c r="S79" s="5">
        <f t="shared" si="12"/>
        <v>0.31034482758620691</v>
      </c>
      <c r="T79" s="3">
        <f t="shared" si="13"/>
        <v>0</v>
      </c>
      <c r="U79" s="3" t="s">
        <v>96</v>
      </c>
      <c r="V79" s="3">
        <v>3</v>
      </c>
      <c r="W79" s="6">
        <v>6.6</v>
      </c>
      <c r="X79" s="4">
        <v>9</v>
      </c>
      <c r="Y79" s="5">
        <v>0.3</v>
      </c>
      <c r="Z79" s="5">
        <v>1</v>
      </c>
      <c r="AA79" s="3" t="s">
        <v>80</v>
      </c>
      <c r="AB79" s="3">
        <v>0</v>
      </c>
      <c r="AC79" s="3" t="s">
        <v>81</v>
      </c>
      <c r="AD79" s="3">
        <v>0</v>
      </c>
      <c r="AE79" s="3" t="s">
        <v>82</v>
      </c>
      <c r="AF79" s="3">
        <v>1</v>
      </c>
      <c r="AG79" s="3" t="s">
        <v>82</v>
      </c>
      <c r="AH79" s="3">
        <v>1</v>
      </c>
      <c r="AI79" s="3">
        <v>3</v>
      </c>
      <c r="AJ79" s="3">
        <v>2</v>
      </c>
      <c r="AK79" s="3">
        <v>0</v>
      </c>
      <c r="AL79" s="3">
        <v>0</v>
      </c>
      <c r="AM79" s="3">
        <v>0</v>
      </c>
      <c r="AN79" s="3">
        <v>1</v>
      </c>
      <c r="AO79" s="3">
        <v>1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1</v>
      </c>
      <c r="BB79" s="3">
        <v>0</v>
      </c>
      <c r="BC79" s="3">
        <v>0</v>
      </c>
      <c r="BD79" s="3">
        <v>0</v>
      </c>
      <c r="BE79" s="3">
        <v>0</v>
      </c>
      <c r="BF79" s="3">
        <v>1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1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7" t="s">
        <v>314</v>
      </c>
      <c r="BX79" s="7" t="s">
        <v>315</v>
      </c>
    </row>
    <row r="80" spans="1:76">
      <c r="A80" s="3" t="s">
        <v>316</v>
      </c>
      <c r="B80" s="3">
        <v>5831</v>
      </c>
      <c r="C80" s="3" t="s">
        <v>313</v>
      </c>
      <c r="D80" s="3">
        <v>4</v>
      </c>
      <c r="E80" s="4">
        <v>73</v>
      </c>
      <c r="F80" s="3" t="s">
        <v>87</v>
      </c>
      <c r="G80" s="3">
        <v>0</v>
      </c>
      <c r="H80" s="3">
        <v>0</v>
      </c>
      <c r="I80" s="4">
        <v>20</v>
      </c>
      <c r="J80" s="4">
        <v>9</v>
      </c>
      <c r="K80" s="4">
        <v>29</v>
      </c>
      <c r="L80" s="5">
        <f>IF(F80="F",65.79,IF(F80="M",79.94,""))</f>
        <v>65.790000000000006</v>
      </c>
      <c r="M80" s="3">
        <f t="shared" si="7"/>
        <v>0</v>
      </c>
      <c r="N80" s="3" t="str">
        <f t="shared" si="8"/>
        <v>VSC-non-halitosis</v>
      </c>
      <c r="O80" s="3" t="str">
        <f t="shared" si="9"/>
        <v>Clinical- / VSC-</v>
      </c>
      <c r="P80" s="5">
        <f t="shared" si="10"/>
        <v>3.3672958299864741</v>
      </c>
      <c r="Q80" s="5">
        <f t="shared" si="11"/>
        <v>3.044522437723423</v>
      </c>
      <c r="R80" s="5">
        <f t="shared" si="11"/>
        <v>2.3025850929940459</v>
      </c>
      <c r="S80" s="5">
        <f t="shared" si="12"/>
        <v>0.31034482758620691</v>
      </c>
      <c r="T80" s="3">
        <f t="shared" si="13"/>
        <v>0</v>
      </c>
      <c r="U80" s="3" t="s">
        <v>96</v>
      </c>
      <c r="V80" s="3">
        <v>3</v>
      </c>
      <c r="W80" s="6">
        <v>6.6</v>
      </c>
      <c r="X80" s="4">
        <v>9</v>
      </c>
      <c r="Y80" s="5">
        <v>0.3</v>
      </c>
      <c r="Z80" s="5">
        <v>1</v>
      </c>
      <c r="AA80" s="3" t="s">
        <v>80</v>
      </c>
      <c r="AB80" s="3">
        <v>0</v>
      </c>
      <c r="AC80" s="3" t="s">
        <v>81</v>
      </c>
      <c r="AD80" s="3">
        <v>0</v>
      </c>
      <c r="AE80" s="3" t="s">
        <v>82</v>
      </c>
      <c r="AF80" s="3">
        <v>1</v>
      </c>
      <c r="AG80" s="3" t="s">
        <v>82</v>
      </c>
      <c r="AH80" s="3">
        <v>1</v>
      </c>
      <c r="AI80" s="3">
        <v>0</v>
      </c>
      <c r="AJ80" s="3">
        <v>1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1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7"/>
      <c r="BX80" s="7" t="s">
        <v>317</v>
      </c>
    </row>
    <row r="81" spans="1:76" ht="34">
      <c r="A81" s="3" t="s">
        <v>318</v>
      </c>
      <c r="B81" s="3">
        <v>3548</v>
      </c>
      <c r="C81" s="3" t="s">
        <v>313</v>
      </c>
      <c r="D81" s="3">
        <v>4</v>
      </c>
      <c r="E81" s="4">
        <v>76</v>
      </c>
      <c r="F81" s="3" t="s">
        <v>87</v>
      </c>
      <c r="G81" s="3">
        <v>0</v>
      </c>
      <c r="H81" s="3">
        <v>0</v>
      </c>
      <c r="I81" s="4">
        <v>0</v>
      </c>
      <c r="J81" s="4">
        <v>1</v>
      </c>
      <c r="K81" s="4">
        <v>1</v>
      </c>
      <c r="L81" s="5">
        <f>IF(F81="F",65.79,IF(F81="M",79.94,""))</f>
        <v>65.790000000000006</v>
      </c>
      <c r="M81" s="3">
        <f t="shared" si="7"/>
        <v>0</v>
      </c>
      <c r="N81" s="3" t="str">
        <f t="shared" si="8"/>
        <v>VSC-non-halitosis</v>
      </c>
      <c r="O81" s="3" t="str">
        <f t="shared" si="9"/>
        <v>Clinical- / VSC-</v>
      </c>
      <c r="P81" s="5">
        <f t="shared" si="10"/>
        <v>0</v>
      </c>
      <c r="Q81" s="5">
        <f t="shared" si="11"/>
        <v>0</v>
      </c>
      <c r="R81" s="5">
        <f t="shared" si="11"/>
        <v>0.69314718055994529</v>
      </c>
      <c r="S81" s="5">
        <f t="shared" si="12"/>
        <v>1</v>
      </c>
      <c r="T81" s="3">
        <f t="shared" si="13"/>
        <v>1</v>
      </c>
      <c r="U81" s="3" t="s">
        <v>102</v>
      </c>
      <c r="V81" s="3">
        <v>1</v>
      </c>
      <c r="W81" s="6">
        <v>6.6</v>
      </c>
      <c r="X81" s="4">
        <v>9</v>
      </c>
      <c r="Y81" s="5">
        <v>0.3</v>
      </c>
      <c r="Z81" s="5">
        <v>1</v>
      </c>
      <c r="AA81" s="3" t="s">
        <v>80</v>
      </c>
      <c r="AB81" s="3">
        <v>0</v>
      </c>
      <c r="AC81" s="3" t="s">
        <v>81</v>
      </c>
      <c r="AD81" s="3">
        <v>0</v>
      </c>
      <c r="AE81" s="3" t="s">
        <v>82</v>
      </c>
      <c r="AF81" s="3">
        <v>1</v>
      </c>
      <c r="AG81" s="3" t="s">
        <v>82</v>
      </c>
      <c r="AH81" s="3">
        <v>1</v>
      </c>
      <c r="AI81" s="3">
        <v>3</v>
      </c>
      <c r="AJ81" s="3">
        <v>2</v>
      </c>
      <c r="AK81" s="3">
        <v>0</v>
      </c>
      <c r="AL81" s="3">
        <v>0</v>
      </c>
      <c r="AM81" s="3">
        <v>0</v>
      </c>
      <c r="AN81" s="3">
        <v>1</v>
      </c>
      <c r="AO81" s="3">
        <v>1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1</v>
      </c>
      <c r="BB81" s="3">
        <v>0</v>
      </c>
      <c r="BC81" s="3">
        <v>0</v>
      </c>
      <c r="BD81" s="3">
        <v>0</v>
      </c>
      <c r="BE81" s="3">
        <v>0</v>
      </c>
      <c r="BF81" s="3">
        <v>1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1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7" t="s">
        <v>314</v>
      </c>
      <c r="BX81" s="7" t="s">
        <v>315</v>
      </c>
    </row>
    <row r="82" spans="1:76">
      <c r="A82" s="3" t="s">
        <v>319</v>
      </c>
      <c r="B82" s="3">
        <v>5831</v>
      </c>
      <c r="C82" s="3" t="s">
        <v>313</v>
      </c>
      <c r="D82" s="3">
        <v>4</v>
      </c>
      <c r="E82" s="4">
        <v>76</v>
      </c>
      <c r="F82" s="3" t="s">
        <v>87</v>
      </c>
      <c r="G82" s="3">
        <v>0</v>
      </c>
      <c r="H82" s="3">
        <v>0</v>
      </c>
      <c r="I82" s="4">
        <v>0</v>
      </c>
      <c r="J82" s="4">
        <v>1</v>
      </c>
      <c r="K82" s="4">
        <v>1</v>
      </c>
      <c r="L82" s="5">
        <f>IF(F82="F",65.79,IF(F82="M",79.94,""))</f>
        <v>65.790000000000006</v>
      </c>
      <c r="M82" s="3">
        <f t="shared" si="7"/>
        <v>0</v>
      </c>
      <c r="N82" s="3" t="str">
        <f t="shared" si="8"/>
        <v>VSC-non-halitosis</v>
      </c>
      <c r="O82" s="3" t="str">
        <f t="shared" si="9"/>
        <v>Clinical- / VSC-</v>
      </c>
      <c r="P82" s="5">
        <f t="shared" si="10"/>
        <v>0</v>
      </c>
      <c r="Q82" s="5">
        <f t="shared" si="11"/>
        <v>0</v>
      </c>
      <c r="R82" s="5">
        <f t="shared" si="11"/>
        <v>0.69314718055994529</v>
      </c>
      <c r="S82" s="5">
        <f t="shared" si="12"/>
        <v>1</v>
      </c>
      <c r="T82" s="3">
        <f t="shared" si="13"/>
        <v>1</v>
      </c>
      <c r="U82" s="3" t="s">
        <v>102</v>
      </c>
      <c r="V82" s="3">
        <v>1</v>
      </c>
      <c r="W82" s="6">
        <v>6.6</v>
      </c>
      <c r="X82" s="4">
        <v>9</v>
      </c>
      <c r="Y82" s="5">
        <v>0.3</v>
      </c>
      <c r="Z82" s="5">
        <v>1</v>
      </c>
      <c r="AA82" s="3" t="s">
        <v>80</v>
      </c>
      <c r="AB82" s="3">
        <v>0</v>
      </c>
      <c r="AC82" s="3" t="s">
        <v>81</v>
      </c>
      <c r="AD82" s="3">
        <v>0</v>
      </c>
      <c r="AE82" s="3" t="s">
        <v>82</v>
      </c>
      <c r="AF82" s="3">
        <v>1</v>
      </c>
      <c r="AG82" s="3" t="s">
        <v>82</v>
      </c>
      <c r="AH82" s="3">
        <v>1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1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7"/>
      <c r="BX82" s="7" t="s">
        <v>317</v>
      </c>
    </row>
    <row r="83" spans="1:76">
      <c r="A83" s="3" t="s">
        <v>320</v>
      </c>
      <c r="B83" s="3">
        <v>3576</v>
      </c>
      <c r="C83" s="3" t="s">
        <v>321</v>
      </c>
      <c r="D83" s="3">
        <v>1</v>
      </c>
      <c r="E83" s="4">
        <v>58</v>
      </c>
      <c r="F83" s="3" t="s">
        <v>78</v>
      </c>
      <c r="G83" s="3">
        <v>1</v>
      </c>
      <c r="H83" s="3">
        <v>0</v>
      </c>
      <c r="I83" s="4">
        <v>178</v>
      </c>
      <c r="J83" s="4">
        <v>66</v>
      </c>
      <c r="K83" s="4">
        <v>244</v>
      </c>
      <c r="L83" s="5">
        <f>IF(F83="F",65.79,IF(F83="M",79.94,""))</f>
        <v>79.94</v>
      </c>
      <c r="M83" s="3">
        <f t="shared" si="7"/>
        <v>1</v>
      </c>
      <c r="N83" s="3" t="str">
        <f t="shared" si="8"/>
        <v>VSC-halitosis</v>
      </c>
      <c r="O83" s="3" t="str">
        <f t="shared" si="9"/>
        <v>Clinical+ / VSC+</v>
      </c>
      <c r="P83" s="5">
        <f t="shared" si="10"/>
        <v>5.4971682252932021</v>
      </c>
      <c r="Q83" s="5">
        <f t="shared" si="11"/>
        <v>5.1873858058407549</v>
      </c>
      <c r="R83" s="5">
        <f t="shared" si="11"/>
        <v>4.2046926193909657</v>
      </c>
      <c r="S83" s="5">
        <f t="shared" si="12"/>
        <v>0.27049180327868855</v>
      </c>
      <c r="T83" s="3">
        <f t="shared" si="13"/>
        <v>0</v>
      </c>
      <c r="U83" s="3" t="s">
        <v>96</v>
      </c>
      <c r="V83" s="3">
        <v>3</v>
      </c>
      <c r="W83" s="6">
        <v>6.4</v>
      </c>
      <c r="X83" s="4">
        <v>4</v>
      </c>
      <c r="Y83" s="5">
        <v>0.3</v>
      </c>
      <c r="Z83" s="5">
        <v>1.5</v>
      </c>
      <c r="AA83" s="3" t="s">
        <v>80</v>
      </c>
      <c r="AB83" s="3">
        <v>0</v>
      </c>
      <c r="AC83" s="3"/>
      <c r="AD83" s="3">
        <v>0</v>
      </c>
      <c r="AE83" s="3"/>
      <c r="AF83" s="3">
        <v>0</v>
      </c>
      <c r="AG83" s="3"/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7" t="s">
        <v>119</v>
      </c>
      <c r="BX83" s="7" t="s">
        <v>119</v>
      </c>
    </row>
    <row r="84" spans="1:76" ht="34">
      <c r="A84" s="3" t="s">
        <v>322</v>
      </c>
      <c r="B84" s="3">
        <v>5833</v>
      </c>
      <c r="C84" s="3" t="s">
        <v>323</v>
      </c>
      <c r="D84" s="3">
        <v>1</v>
      </c>
      <c r="E84" s="4">
        <v>82</v>
      </c>
      <c r="F84" s="3" t="s">
        <v>87</v>
      </c>
      <c r="G84" s="3">
        <v>0</v>
      </c>
      <c r="H84" s="3">
        <v>0</v>
      </c>
      <c r="I84" s="4">
        <v>9</v>
      </c>
      <c r="J84" s="4">
        <v>7</v>
      </c>
      <c r="K84" s="4">
        <v>16</v>
      </c>
      <c r="L84" s="5">
        <f>IF(F84="F",65.79,IF(F84="M",79.94,""))</f>
        <v>65.790000000000006</v>
      </c>
      <c r="M84" s="3">
        <f t="shared" si="7"/>
        <v>0</v>
      </c>
      <c r="N84" s="3" t="str">
        <f t="shared" si="8"/>
        <v>VSC-non-halitosis</v>
      </c>
      <c r="O84" s="3" t="str">
        <f t="shared" si="9"/>
        <v>Clinical- / VSC-</v>
      </c>
      <c r="P84" s="5">
        <f t="shared" si="10"/>
        <v>2.7725887222397811</v>
      </c>
      <c r="Q84" s="5">
        <f t="shared" si="11"/>
        <v>2.3025850929940459</v>
      </c>
      <c r="R84" s="5">
        <f t="shared" si="11"/>
        <v>2.0794415416798357</v>
      </c>
      <c r="S84" s="5">
        <f t="shared" si="12"/>
        <v>0.4375</v>
      </c>
      <c r="T84" s="3">
        <f t="shared" si="13"/>
        <v>0</v>
      </c>
      <c r="U84" s="3" t="s">
        <v>79</v>
      </c>
      <c r="V84" s="3">
        <v>2</v>
      </c>
      <c r="W84" s="6">
        <v>6.2</v>
      </c>
      <c r="X84" s="4">
        <v>7</v>
      </c>
      <c r="Y84" s="5">
        <v>0.3</v>
      </c>
      <c r="Z84" s="5">
        <v>1</v>
      </c>
      <c r="AA84" s="3" t="s">
        <v>108</v>
      </c>
      <c r="AB84" s="3">
        <v>1</v>
      </c>
      <c r="AC84" s="3" t="s">
        <v>138</v>
      </c>
      <c r="AD84" s="3">
        <v>1</v>
      </c>
      <c r="AE84" s="3" t="s">
        <v>82</v>
      </c>
      <c r="AF84" s="3">
        <v>1</v>
      </c>
      <c r="AG84" s="3" t="s">
        <v>103</v>
      </c>
      <c r="AH84" s="3">
        <v>1</v>
      </c>
      <c r="AI84" s="3">
        <v>3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1</v>
      </c>
      <c r="AS84" s="3">
        <v>1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1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7" t="s">
        <v>324</v>
      </c>
      <c r="BX84" s="7" t="s">
        <v>325</v>
      </c>
    </row>
    <row r="85" spans="1:76">
      <c r="A85" s="3" t="s">
        <v>326</v>
      </c>
      <c r="B85" s="3">
        <v>3923</v>
      </c>
      <c r="C85" s="3" t="s">
        <v>327</v>
      </c>
      <c r="D85" s="3">
        <v>1</v>
      </c>
      <c r="E85" s="4">
        <v>80</v>
      </c>
      <c r="F85" s="3" t="s">
        <v>87</v>
      </c>
      <c r="G85" s="3">
        <v>0</v>
      </c>
      <c r="H85" s="3">
        <v>0</v>
      </c>
      <c r="I85" s="4">
        <v>1</v>
      </c>
      <c r="J85" s="4">
        <v>1</v>
      </c>
      <c r="K85" s="4">
        <v>2</v>
      </c>
      <c r="L85" s="5">
        <f>IF(F85="F",65.79,IF(F85="M",79.94,""))</f>
        <v>65.790000000000006</v>
      </c>
      <c r="M85" s="3">
        <f t="shared" si="7"/>
        <v>0</v>
      </c>
      <c r="N85" s="3" t="str">
        <f t="shared" si="8"/>
        <v>VSC-non-halitosis</v>
      </c>
      <c r="O85" s="3" t="str">
        <f t="shared" si="9"/>
        <v>Clinical- / VSC-</v>
      </c>
      <c r="P85" s="5">
        <f t="shared" si="10"/>
        <v>0.69314718055994529</v>
      </c>
      <c r="Q85" s="5">
        <f t="shared" si="11"/>
        <v>0.69314718055994529</v>
      </c>
      <c r="R85" s="5">
        <f t="shared" si="11"/>
        <v>0.69314718055994529</v>
      </c>
      <c r="S85" s="5">
        <f t="shared" si="12"/>
        <v>0.5</v>
      </c>
      <c r="T85" s="3">
        <f t="shared" si="13"/>
        <v>0</v>
      </c>
      <c r="U85" s="3" t="s">
        <v>102</v>
      </c>
      <c r="V85" s="3">
        <v>1</v>
      </c>
      <c r="W85" s="6">
        <v>6.6</v>
      </c>
      <c r="X85" s="4">
        <v>10</v>
      </c>
      <c r="Y85" s="5">
        <v>0.3</v>
      </c>
      <c r="Z85" s="5">
        <v>1.5</v>
      </c>
      <c r="AA85" s="3" t="s">
        <v>80</v>
      </c>
      <c r="AB85" s="3">
        <v>0</v>
      </c>
      <c r="AC85" s="3" t="s">
        <v>81</v>
      </c>
      <c r="AD85" s="3">
        <v>0</v>
      </c>
      <c r="AE85" s="3" t="s">
        <v>82</v>
      </c>
      <c r="AF85" s="3">
        <v>1</v>
      </c>
      <c r="AG85" s="3" t="s">
        <v>82</v>
      </c>
      <c r="AH85" s="3">
        <v>1</v>
      </c>
      <c r="AI85" s="3">
        <v>2</v>
      </c>
      <c r="AJ85" s="3">
        <v>2</v>
      </c>
      <c r="AK85" s="3">
        <v>0</v>
      </c>
      <c r="AL85" s="3">
        <v>0</v>
      </c>
      <c r="AM85" s="3">
        <v>0</v>
      </c>
      <c r="AN85" s="3">
        <v>1</v>
      </c>
      <c r="AO85" s="3">
        <v>1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1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1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7" t="s">
        <v>328</v>
      </c>
      <c r="BX85" s="7" t="s">
        <v>329</v>
      </c>
    </row>
    <row r="86" spans="1:76">
      <c r="A86" s="3" t="s">
        <v>330</v>
      </c>
      <c r="B86" s="3">
        <v>3560</v>
      </c>
      <c r="C86" s="3" t="s">
        <v>331</v>
      </c>
      <c r="D86" s="3">
        <v>1</v>
      </c>
      <c r="E86" s="4">
        <v>69</v>
      </c>
      <c r="F86" s="3" t="s">
        <v>87</v>
      </c>
      <c r="G86" s="3">
        <v>0</v>
      </c>
      <c r="H86" s="3">
        <v>0</v>
      </c>
      <c r="I86" s="4">
        <v>2</v>
      </c>
      <c r="J86" s="4">
        <v>0</v>
      </c>
      <c r="K86" s="4">
        <v>2</v>
      </c>
      <c r="L86" s="5">
        <f>IF(F86="F",65.79,IF(F86="M",79.94,""))</f>
        <v>65.790000000000006</v>
      </c>
      <c r="M86" s="3">
        <f t="shared" si="7"/>
        <v>0</v>
      </c>
      <c r="N86" s="3" t="str">
        <f t="shared" si="8"/>
        <v>VSC-non-halitosis</v>
      </c>
      <c r="O86" s="3" t="str">
        <f t="shared" si="9"/>
        <v>Clinical- / VSC-</v>
      </c>
      <c r="P86" s="5">
        <f t="shared" si="10"/>
        <v>0.69314718055994529</v>
      </c>
      <c r="Q86" s="5">
        <f t="shared" si="11"/>
        <v>1.0986122886681098</v>
      </c>
      <c r="R86" s="5">
        <f t="shared" si="11"/>
        <v>0</v>
      </c>
      <c r="S86" s="5">
        <f t="shared" si="12"/>
        <v>0</v>
      </c>
      <c r="T86" s="3">
        <f t="shared" si="13"/>
        <v>0</v>
      </c>
      <c r="U86" s="3" t="s">
        <v>102</v>
      </c>
      <c r="V86" s="3">
        <v>1</v>
      </c>
      <c r="W86" s="6">
        <v>5.8</v>
      </c>
      <c r="X86" s="4">
        <v>9</v>
      </c>
      <c r="Y86" s="5">
        <v>0.1</v>
      </c>
      <c r="Z86" s="5">
        <v>1.5</v>
      </c>
      <c r="AA86" s="3" t="s">
        <v>80</v>
      </c>
      <c r="AB86" s="3">
        <v>0</v>
      </c>
      <c r="AC86" s="3" t="s">
        <v>81</v>
      </c>
      <c r="AD86" s="3">
        <v>0</v>
      </c>
      <c r="AE86" s="3" t="s">
        <v>82</v>
      </c>
      <c r="AF86" s="3">
        <v>1</v>
      </c>
      <c r="AG86" s="3" t="s">
        <v>82</v>
      </c>
      <c r="AH86" s="3">
        <v>1</v>
      </c>
      <c r="AI86" s="3">
        <v>3</v>
      </c>
      <c r="AJ86" s="3">
        <v>2</v>
      </c>
      <c r="AK86" s="3">
        <v>1</v>
      </c>
      <c r="AL86" s="3">
        <v>0</v>
      </c>
      <c r="AM86" s="3">
        <v>0</v>
      </c>
      <c r="AN86" s="3">
        <v>1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1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1</v>
      </c>
      <c r="BF86" s="3">
        <v>1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1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7" t="s">
        <v>332</v>
      </c>
      <c r="BX86" s="7" t="s">
        <v>333</v>
      </c>
    </row>
    <row r="87" spans="1:76">
      <c r="A87" s="3" t="s">
        <v>334</v>
      </c>
      <c r="B87" s="3">
        <v>4293</v>
      </c>
      <c r="C87" s="3" t="s">
        <v>335</v>
      </c>
      <c r="D87" s="3">
        <v>1</v>
      </c>
      <c r="E87" s="4">
        <v>81</v>
      </c>
      <c r="F87" s="3" t="s">
        <v>78</v>
      </c>
      <c r="G87" s="3">
        <v>0</v>
      </c>
      <c r="H87" s="3">
        <v>1</v>
      </c>
      <c r="I87" s="4">
        <v>36</v>
      </c>
      <c r="J87" s="4">
        <v>47</v>
      </c>
      <c r="K87" s="4">
        <v>83</v>
      </c>
      <c r="L87" s="5">
        <f>IF(F87="F",65.79,IF(F87="M",79.94,""))</f>
        <v>79.94</v>
      </c>
      <c r="M87" s="3">
        <f t="shared" si="7"/>
        <v>1</v>
      </c>
      <c r="N87" s="3" t="str">
        <f t="shared" si="8"/>
        <v>VSC-halitosis</v>
      </c>
      <c r="O87" s="3" t="str">
        <f t="shared" si="9"/>
        <v>Clinical- / VSC+</v>
      </c>
      <c r="P87" s="5">
        <f t="shared" si="10"/>
        <v>4.4188406077965983</v>
      </c>
      <c r="Q87" s="5">
        <f t="shared" si="11"/>
        <v>3.6109179126442243</v>
      </c>
      <c r="R87" s="5">
        <f t="shared" si="11"/>
        <v>3.8712010109078911</v>
      </c>
      <c r="S87" s="5">
        <f t="shared" si="12"/>
        <v>0.5662650602409639</v>
      </c>
      <c r="T87" s="3">
        <f t="shared" si="13"/>
        <v>1</v>
      </c>
      <c r="U87" s="3" t="s">
        <v>96</v>
      </c>
      <c r="V87" s="3">
        <v>3</v>
      </c>
      <c r="W87" s="6">
        <v>5.6</v>
      </c>
      <c r="X87" s="4">
        <v>12</v>
      </c>
      <c r="Y87" s="5">
        <v>0.3</v>
      </c>
      <c r="Z87" s="5">
        <v>1</v>
      </c>
      <c r="AA87" s="3" t="s">
        <v>88</v>
      </c>
      <c r="AB87" s="3">
        <v>0</v>
      </c>
      <c r="AC87" s="3" t="s">
        <v>81</v>
      </c>
      <c r="AD87" s="3">
        <v>0</v>
      </c>
      <c r="AE87" s="3" t="s">
        <v>98</v>
      </c>
      <c r="AF87" s="3">
        <v>0</v>
      </c>
      <c r="AG87" s="3" t="s">
        <v>82</v>
      </c>
      <c r="AH87" s="3">
        <v>1</v>
      </c>
      <c r="AI87" s="3">
        <v>3</v>
      </c>
      <c r="AJ87" s="3">
        <v>1</v>
      </c>
      <c r="AK87" s="3">
        <v>0</v>
      </c>
      <c r="AL87" s="3">
        <v>1</v>
      </c>
      <c r="AM87" s="3">
        <v>0</v>
      </c>
      <c r="AN87" s="3">
        <v>1</v>
      </c>
      <c r="AO87" s="3">
        <v>0</v>
      </c>
      <c r="AP87" s="3">
        <v>0</v>
      </c>
      <c r="AQ87" s="3">
        <v>0</v>
      </c>
      <c r="AR87" s="3">
        <v>1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1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7" t="s">
        <v>336</v>
      </c>
      <c r="BX87" s="7" t="s">
        <v>337</v>
      </c>
    </row>
    <row r="88" spans="1:76">
      <c r="A88" s="3" t="s">
        <v>338</v>
      </c>
      <c r="B88" s="3">
        <v>4481</v>
      </c>
      <c r="C88" s="3" t="s">
        <v>339</v>
      </c>
      <c r="D88" s="3">
        <v>1</v>
      </c>
      <c r="E88" s="4">
        <v>72</v>
      </c>
      <c r="F88" s="3" t="s">
        <v>87</v>
      </c>
      <c r="G88" s="3">
        <v>0</v>
      </c>
      <c r="H88" s="3">
        <v>0</v>
      </c>
      <c r="I88" s="4">
        <v>65</v>
      </c>
      <c r="J88" s="4">
        <v>0</v>
      </c>
      <c r="K88" s="4">
        <v>65</v>
      </c>
      <c r="L88" s="5">
        <f>IF(F88="F",65.79,IF(F88="M",79.94,""))</f>
        <v>65.790000000000006</v>
      </c>
      <c r="M88" s="3">
        <f t="shared" si="7"/>
        <v>0</v>
      </c>
      <c r="N88" s="3" t="str">
        <f t="shared" si="8"/>
        <v>VSC-non-halitosis</v>
      </c>
      <c r="O88" s="3" t="str">
        <f t="shared" si="9"/>
        <v>Clinical- / VSC-</v>
      </c>
      <c r="P88" s="5">
        <f t="shared" si="10"/>
        <v>4.1743872698956368</v>
      </c>
      <c r="Q88" s="5">
        <f t="shared" si="11"/>
        <v>4.1896547420264252</v>
      </c>
      <c r="R88" s="5">
        <f t="shared" si="11"/>
        <v>0</v>
      </c>
      <c r="S88" s="5">
        <f t="shared" si="12"/>
        <v>0</v>
      </c>
      <c r="T88" s="3">
        <f t="shared" si="13"/>
        <v>0</v>
      </c>
      <c r="U88" s="3" t="s">
        <v>96</v>
      </c>
      <c r="V88" s="3">
        <v>3</v>
      </c>
      <c r="W88" s="6">
        <v>6.2</v>
      </c>
      <c r="X88" s="4">
        <v>12</v>
      </c>
      <c r="Y88" s="5">
        <v>0.01</v>
      </c>
      <c r="Z88" s="5">
        <v>0.1</v>
      </c>
      <c r="AA88" s="3" t="s">
        <v>88</v>
      </c>
      <c r="AB88" s="3">
        <v>0</v>
      </c>
      <c r="AC88" s="3" t="s">
        <v>81</v>
      </c>
      <c r="AD88" s="3">
        <v>0</v>
      </c>
      <c r="AE88" s="3" t="s">
        <v>98</v>
      </c>
      <c r="AF88" s="3">
        <v>0</v>
      </c>
      <c r="AG88" s="3" t="s">
        <v>103</v>
      </c>
      <c r="AH88" s="3">
        <v>1</v>
      </c>
      <c r="AI88" s="3">
        <v>4</v>
      </c>
      <c r="AJ88" s="3">
        <v>4</v>
      </c>
      <c r="AK88" s="3">
        <v>2</v>
      </c>
      <c r="AL88" s="3">
        <v>1</v>
      </c>
      <c r="AM88" s="3">
        <v>0</v>
      </c>
      <c r="AN88" s="3">
        <v>1</v>
      </c>
      <c r="AO88" s="3">
        <v>0</v>
      </c>
      <c r="AP88" s="3">
        <v>0</v>
      </c>
      <c r="AQ88" s="3">
        <v>1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1</v>
      </c>
      <c r="BF88" s="3">
        <v>1</v>
      </c>
      <c r="BG88" s="3">
        <v>1</v>
      </c>
      <c r="BH88" s="3">
        <v>1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1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7" t="s">
        <v>340</v>
      </c>
      <c r="BX88" s="7" t="s">
        <v>341</v>
      </c>
    </row>
    <row r="89" spans="1:76">
      <c r="A89" s="3" t="s">
        <v>342</v>
      </c>
      <c r="B89" s="3">
        <v>3676</v>
      </c>
      <c r="C89" s="3" t="s">
        <v>343</v>
      </c>
      <c r="D89" s="3">
        <v>1</v>
      </c>
      <c r="E89" s="4">
        <v>67</v>
      </c>
      <c r="F89" s="3" t="s">
        <v>87</v>
      </c>
      <c r="G89" s="3">
        <v>0</v>
      </c>
      <c r="H89" s="3">
        <v>0</v>
      </c>
      <c r="I89" s="4">
        <v>2</v>
      </c>
      <c r="J89" s="4">
        <v>3</v>
      </c>
      <c r="K89" s="4">
        <v>5</v>
      </c>
      <c r="L89" s="5">
        <f>IF(F89="F",65.79,IF(F89="M",79.94,""))</f>
        <v>65.790000000000006</v>
      </c>
      <c r="M89" s="3">
        <f t="shared" si="7"/>
        <v>0</v>
      </c>
      <c r="N89" s="3" t="str">
        <f t="shared" si="8"/>
        <v>VSC-non-halitosis</v>
      </c>
      <c r="O89" s="3" t="str">
        <f t="shared" si="9"/>
        <v>Clinical- / VSC-</v>
      </c>
      <c r="P89" s="5">
        <f t="shared" si="10"/>
        <v>1.6094379124341003</v>
      </c>
      <c r="Q89" s="5">
        <f t="shared" si="11"/>
        <v>1.0986122886681098</v>
      </c>
      <c r="R89" s="5">
        <f t="shared" si="11"/>
        <v>1.3862943611198906</v>
      </c>
      <c r="S89" s="5">
        <f t="shared" si="12"/>
        <v>0.6</v>
      </c>
      <c r="T89" s="3">
        <f t="shared" si="13"/>
        <v>1</v>
      </c>
      <c r="U89" s="3" t="s">
        <v>79</v>
      </c>
      <c r="V89" s="3">
        <v>2</v>
      </c>
      <c r="W89" s="6">
        <v>6.4</v>
      </c>
      <c r="X89" s="4">
        <v>6</v>
      </c>
      <c r="Y89" s="5">
        <v>0.1</v>
      </c>
      <c r="Z89" s="5">
        <v>0.6</v>
      </c>
      <c r="AA89" s="3" t="s">
        <v>108</v>
      </c>
      <c r="AB89" s="3">
        <v>1</v>
      </c>
      <c r="AC89" s="3" t="s">
        <v>138</v>
      </c>
      <c r="AD89" s="3">
        <v>1</v>
      </c>
      <c r="AE89" s="3" t="s">
        <v>82</v>
      </c>
      <c r="AF89" s="3">
        <v>1</v>
      </c>
      <c r="AG89" s="3" t="s">
        <v>82</v>
      </c>
      <c r="AH89" s="3">
        <v>1</v>
      </c>
      <c r="AI89" s="3">
        <v>3</v>
      </c>
      <c r="AJ89" s="3">
        <v>3</v>
      </c>
      <c r="AK89" s="3">
        <v>0</v>
      </c>
      <c r="AL89" s="3">
        <v>0</v>
      </c>
      <c r="AM89" s="3">
        <v>1</v>
      </c>
      <c r="AN89" s="3">
        <v>1</v>
      </c>
      <c r="AO89" s="3">
        <v>0</v>
      </c>
      <c r="AP89" s="3">
        <v>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1</v>
      </c>
      <c r="BG89" s="3">
        <v>0</v>
      </c>
      <c r="BH89" s="3">
        <v>0</v>
      </c>
      <c r="BI89" s="3">
        <v>0</v>
      </c>
      <c r="BJ89" s="3">
        <v>0</v>
      </c>
      <c r="BK89" s="3">
        <v>1</v>
      </c>
      <c r="BL89" s="3">
        <v>1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7" t="s">
        <v>118</v>
      </c>
      <c r="BX89" s="7" t="s">
        <v>344</v>
      </c>
    </row>
    <row r="90" spans="1:76">
      <c r="A90" s="3" t="s">
        <v>345</v>
      </c>
      <c r="B90" s="3">
        <v>3834</v>
      </c>
      <c r="C90" s="3" t="s">
        <v>346</v>
      </c>
      <c r="D90" s="3">
        <v>1</v>
      </c>
      <c r="E90" s="4">
        <v>82</v>
      </c>
      <c r="F90" s="3" t="s">
        <v>78</v>
      </c>
      <c r="G90" s="3">
        <v>0</v>
      </c>
      <c r="H90" s="3">
        <v>0</v>
      </c>
      <c r="I90" s="4">
        <v>0</v>
      </c>
      <c r="J90" s="4">
        <v>3</v>
      </c>
      <c r="K90" s="4">
        <v>3</v>
      </c>
      <c r="L90" s="5">
        <f>IF(F90="F",65.79,IF(F90="M",79.94,""))</f>
        <v>79.94</v>
      </c>
      <c r="M90" s="3">
        <f t="shared" si="7"/>
        <v>0</v>
      </c>
      <c r="N90" s="3" t="str">
        <f t="shared" si="8"/>
        <v>VSC-non-halitosis</v>
      </c>
      <c r="O90" s="3" t="str">
        <f t="shared" si="9"/>
        <v>Clinical- / VSC-</v>
      </c>
      <c r="P90" s="5">
        <f t="shared" si="10"/>
        <v>1.0986122886681098</v>
      </c>
      <c r="Q90" s="5">
        <f t="shared" si="11"/>
        <v>0</v>
      </c>
      <c r="R90" s="5">
        <f t="shared" si="11"/>
        <v>1.3862943611198906</v>
      </c>
      <c r="S90" s="5">
        <f t="shared" si="12"/>
        <v>1</v>
      </c>
      <c r="T90" s="3">
        <f t="shared" si="13"/>
        <v>1</v>
      </c>
      <c r="U90" s="3" t="s">
        <v>102</v>
      </c>
      <c r="V90" s="3">
        <v>1</v>
      </c>
      <c r="W90" s="6">
        <v>5.8</v>
      </c>
      <c r="X90" s="4">
        <v>10</v>
      </c>
      <c r="Y90" s="5">
        <v>0.3</v>
      </c>
      <c r="Z90" s="5">
        <v>1.8</v>
      </c>
      <c r="AA90" s="3" t="s">
        <v>80</v>
      </c>
      <c r="AB90" s="3">
        <v>0</v>
      </c>
      <c r="AC90" s="3" t="s">
        <v>89</v>
      </c>
      <c r="AD90" s="3">
        <v>1</v>
      </c>
      <c r="AE90" s="3" t="s">
        <v>82</v>
      </c>
      <c r="AF90" s="3">
        <v>1</v>
      </c>
      <c r="AG90" s="3" t="s">
        <v>82</v>
      </c>
      <c r="AH90" s="3">
        <v>1</v>
      </c>
      <c r="AI90" s="3">
        <v>3</v>
      </c>
      <c r="AJ90" s="3">
        <v>1</v>
      </c>
      <c r="AK90" s="3">
        <v>0</v>
      </c>
      <c r="AL90" s="3">
        <v>1</v>
      </c>
      <c r="AM90" s="3">
        <v>0</v>
      </c>
      <c r="AN90" s="3">
        <v>0</v>
      </c>
      <c r="AO90" s="3">
        <v>0</v>
      </c>
      <c r="AP90" s="3">
        <v>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1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1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7" t="s">
        <v>347</v>
      </c>
      <c r="BX90" s="7" t="s">
        <v>317</v>
      </c>
    </row>
    <row r="91" spans="1:76">
      <c r="A91" s="3" t="s">
        <v>348</v>
      </c>
      <c r="B91" s="3">
        <v>3529</v>
      </c>
      <c r="C91" s="3" t="s">
        <v>349</v>
      </c>
      <c r="D91" s="3">
        <v>2</v>
      </c>
      <c r="E91" s="4">
        <v>46</v>
      </c>
      <c r="F91" s="3" t="s">
        <v>87</v>
      </c>
      <c r="G91" s="3">
        <v>0</v>
      </c>
      <c r="H91" s="3">
        <v>1</v>
      </c>
      <c r="I91" s="4">
        <v>14</v>
      </c>
      <c r="J91" s="4">
        <v>6</v>
      </c>
      <c r="K91" s="4">
        <v>20</v>
      </c>
      <c r="L91" s="5">
        <f>IF(F91="F",65.79,IF(F91="M",79.94,""))</f>
        <v>65.790000000000006</v>
      </c>
      <c r="M91" s="3">
        <f t="shared" si="7"/>
        <v>0</v>
      </c>
      <c r="N91" s="3" t="str">
        <f t="shared" si="8"/>
        <v>VSC-non-halitosis</v>
      </c>
      <c r="O91" s="3" t="str">
        <f t="shared" si="9"/>
        <v>Clinical- / VSC-</v>
      </c>
      <c r="P91" s="5">
        <f t="shared" si="10"/>
        <v>2.9957322735539909</v>
      </c>
      <c r="Q91" s="5">
        <f t="shared" si="11"/>
        <v>2.7080502011022101</v>
      </c>
      <c r="R91" s="5">
        <f t="shared" si="11"/>
        <v>1.9459101490553132</v>
      </c>
      <c r="S91" s="5">
        <f t="shared" si="12"/>
        <v>0.3</v>
      </c>
      <c r="T91" s="3">
        <f t="shared" si="13"/>
        <v>0</v>
      </c>
      <c r="U91" s="3" t="s">
        <v>79</v>
      </c>
      <c r="V91" s="3">
        <v>2</v>
      </c>
      <c r="W91" s="6">
        <v>6.4</v>
      </c>
      <c r="X91" s="4">
        <v>3</v>
      </c>
      <c r="Y91" s="5">
        <v>0.3</v>
      </c>
      <c r="Z91" s="5">
        <v>0.9</v>
      </c>
      <c r="AA91" s="3" t="s">
        <v>108</v>
      </c>
      <c r="AB91" s="3">
        <v>1</v>
      </c>
      <c r="AC91" s="3" t="s">
        <v>81</v>
      </c>
      <c r="AD91" s="3">
        <v>0</v>
      </c>
      <c r="AE91" s="3" t="s">
        <v>98</v>
      </c>
      <c r="AF91" s="3">
        <v>0</v>
      </c>
      <c r="AG91" s="3" t="s">
        <v>82</v>
      </c>
      <c r="AH91" s="3">
        <v>1</v>
      </c>
      <c r="AI91" s="3">
        <v>1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1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7" t="s">
        <v>328</v>
      </c>
      <c r="BX91" s="7" t="s">
        <v>350</v>
      </c>
    </row>
    <row r="92" spans="1:76">
      <c r="A92" s="3" t="s">
        <v>351</v>
      </c>
      <c r="B92" s="3">
        <v>3529</v>
      </c>
      <c r="C92" s="3" t="s">
        <v>349</v>
      </c>
      <c r="D92" s="3">
        <v>2</v>
      </c>
      <c r="E92" s="4">
        <v>47</v>
      </c>
      <c r="F92" s="3" t="s">
        <v>87</v>
      </c>
      <c r="G92" s="3">
        <v>0</v>
      </c>
      <c r="H92" s="3">
        <v>1</v>
      </c>
      <c r="I92" s="4">
        <v>221</v>
      </c>
      <c r="J92" s="4">
        <v>106</v>
      </c>
      <c r="K92" s="4">
        <v>327</v>
      </c>
      <c r="L92" s="5">
        <f>IF(F92="F",65.79,IF(F92="M",79.94,""))</f>
        <v>65.790000000000006</v>
      </c>
      <c r="M92" s="3">
        <f t="shared" si="7"/>
        <v>1</v>
      </c>
      <c r="N92" s="3" t="str">
        <f t="shared" si="8"/>
        <v>VSC-halitosis</v>
      </c>
      <c r="O92" s="3" t="str">
        <f t="shared" si="9"/>
        <v>Clinical- / VSC+</v>
      </c>
      <c r="P92" s="5">
        <f t="shared" si="10"/>
        <v>5.7899601708972535</v>
      </c>
      <c r="Q92" s="5">
        <f t="shared" si="11"/>
        <v>5.4026773818722793</v>
      </c>
      <c r="R92" s="5">
        <f t="shared" si="11"/>
        <v>4.6728288344619058</v>
      </c>
      <c r="S92" s="5">
        <f t="shared" si="12"/>
        <v>0.32415902140672781</v>
      </c>
      <c r="T92" s="3">
        <f t="shared" si="13"/>
        <v>0</v>
      </c>
      <c r="U92" s="3" t="s">
        <v>96</v>
      </c>
      <c r="V92" s="3">
        <v>3</v>
      </c>
      <c r="W92" s="6">
        <v>6.4</v>
      </c>
      <c r="X92" s="4">
        <v>3</v>
      </c>
      <c r="Y92" s="5">
        <v>0.3</v>
      </c>
      <c r="Z92" s="5">
        <v>0.9</v>
      </c>
      <c r="AA92" s="3" t="s">
        <v>108</v>
      </c>
      <c r="AB92" s="3">
        <v>1</v>
      </c>
      <c r="AC92" s="3" t="s">
        <v>81</v>
      </c>
      <c r="AD92" s="3">
        <v>0</v>
      </c>
      <c r="AE92" s="3" t="s">
        <v>98</v>
      </c>
      <c r="AF92" s="3">
        <v>0</v>
      </c>
      <c r="AG92" s="3" t="s">
        <v>82</v>
      </c>
      <c r="AH92" s="3">
        <v>1</v>
      </c>
      <c r="AI92" s="3">
        <v>1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1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7" t="s">
        <v>328</v>
      </c>
      <c r="BX92" s="7" t="s">
        <v>350</v>
      </c>
    </row>
    <row r="93" spans="1:76">
      <c r="A93" s="3" t="s">
        <v>352</v>
      </c>
      <c r="B93" s="3">
        <v>3444</v>
      </c>
      <c r="C93" s="3" t="s">
        <v>353</v>
      </c>
      <c r="D93" s="3">
        <v>1</v>
      </c>
      <c r="E93" s="4">
        <v>36</v>
      </c>
      <c r="F93" s="3" t="s">
        <v>78</v>
      </c>
      <c r="G93" s="3">
        <v>0</v>
      </c>
      <c r="H93" s="3">
        <v>0</v>
      </c>
      <c r="I93" s="4">
        <v>145</v>
      </c>
      <c r="J93" s="4">
        <v>10</v>
      </c>
      <c r="K93" s="4">
        <v>155</v>
      </c>
      <c r="L93" s="5">
        <f>IF(F93="F",65.79,IF(F93="M",79.94,""))</f>
        <v>79.94</v>
      </c>
      <c r="M93" s="3">
        <f t="shared" si="7"/>
        <v>1</v>
      </c>
      <c r="N93" s="3" t="str">
        <f t="shared" si="8"/>
        <v>VSC-halitosis</v>
      </c>
      <c r="O93" s="3" t="str">
        <f t="shared" si="9"/>
        <v>Clinical- / VSC+</v>
      </c>
      <c r="P93" s="5">
        <f t="shared" si="10"/>
        <v>5.0434251169192468</v>
      </c>
      <c r="Q93" s="5">
        <f t="shared" si="11"/>
        <v>4.9836066217083363</v>
      </c>
      <c r="R93" s="5">
        <f t="shared" si="11"/>
        <v>2.3978952727983707</v>
      </c>
      <c r="S93" s="5">
        <f t="shared" si="12"/>
        <v>6.4516129032258063E-2</v>
      </c>
      <c r="T93" s="3">
        <f t="shared" si="13"/>
        <v>0</v>
      </c>
      <c r="U93" s="3" t="s">
        <v>96</v>
      </c>
      <c r="V93" s="3">
        <v>3</v>
      </c>
      <c r="W93" s="6">
        <v>7.4</v>
      </c>
      <c r="X93" s="4">
        <v>12</v>
      </c>
      <c r="Y93" s="5">
        <v>0.45</v>
      </c>
      <c r="Z93" s="5">
        <v>1.8</v>
      </c>
      <c r="AA93" s="3" t="s">
        <v>80</v>
      </c>
      <c r="AB93" s="3">
        <v>0</v>
      </c>
      <c r="AC93" s="3" t="s">
        <v>81</v>
      </c>
      <c r="AD93" s="3">
        <v>0</v>
      </c>
      <c r="AE93" s="3" t="s">
        <v>82</v>
      </c>
      <c r="AF93" s="3">
        <v>1</v>
      </c>
      <c r="AG93" s="3" t="s">
        <v>82</v>
      </c>
      <c r="AH93" s="3">
        <v>1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7" t="s">
        <v>119</v>
      </c>
      <c r="BX93" s="7" t="s">
        <v>119</v>
      </c>
    </row>
    <row r="94" spans="1:76">
      <c r="A94" s="3" t="s">
        <v>354</v>
      </c>
      <c r="B94" s="3">
        <v>2690</v>
      </c>
      <c r="C94" s="3" t="s">
        <v>355</v>
      </c>
      <c r="D94" s="3">
        <v>2</v>
      </c>
      <c r="E94" s="4">
        <v>81</v>
      </c>
      <c r="F94" s="3" t="s">
        <v>78</v>
      </c>
      <c r="G94" s="3">
        <v>0</v>
      </c>
      <c r="H94" s="3">
        <v>0</v>
      </c>
      <c r="I94" s="4">
        <v>7</v>
      </c>
      <c r="J94" s="4">
        <v>4</v>
      </c>
      <c r="K94" s="4">
        <v>11</v>
      </c>
      <c r="L94" s="5">
        <f>IF(F94="F",65.79,IF(F94="M",79.94,""))</f>
        <v>79.94</v>
      </c>
      <c r="M94" s="3">
        <f t="shared" si="7"/>
        <v>0</v>
      </c>
      <c r="N94" s="3" t="str">
        <f t="shared" si="8"/>
        <v>VSC-non-halitosis</v>
      </c>
      <c r="O94" s="3" t="str">
        <f t="shared" si="9"/>
        <v>Clinical- / VSC-</v>
      </c>
      <c r="P94" s="5">
        <f t="shared" si="10"/>
        <v>2.3978952727983707</v>
      </c>
      <c r="Q94" s="5">
        <f t="shared" si="11"/>
        <v>2.0794415416798357</v>
      </c>
      <c r="R94" s="5">
        <f t="shared" si="11"/>
        <v>1.6094379124341003</v>
      </c>
      <c r="S94" s="5">
        <f t="shared" si="12"/>
        <v>0.36363636363636365</v>
      </c>
      <c r="T94" s="3">
        <f t="shared" si="13"/>
        <v>0</v>
      </c>
      <c r="U94" s="3" t="s">
        <v>79</v>
      </c>
      <c r="V94" s="3">
        <v>2</v>
      </c>
      <c r="W94" s="6">
        <v>6.4</v>
      </c>
      <c r="X94" s="4">
        <v>9</v>
      </c>
      <c r="Y94" s="5">
        <v>0.75</v>
      </c>
      <c r="Z94" s="5">
        <v>2</v>
      </c>
      <c r="AA94" s="3" t="s">
        <v>80</v>
      </c>
      <c r="AB94" s="3">
        <v>0</v>
      </c>
      <c r="AC94" s="3" t="s">
        <v>113</v>
      </c>
      <c r="AD94" s="3">
        <v>0</v>
      </c>
      <c r="AE94" s="3" t="s">
        <v>98</v>
      </c>
      <c r="AF94" s="3">
        <v>0</v>
      </c>
      <c r="AG94" s="3" t="s">
        <v>108</v>
      </c>
      <c r="AH94" s="3">
        <v>1</v>
      </c>
      <c r="AI94" s="3">
        <v>3</v>
      </c>
      <c r="AJ94" s="3">
        <v>0</v>
      </c>
      <c r="AK94" s="3">
        <v>0</v>
      </c>
      <c r="AL94" s="3">
        <v>0</v>
      </c>
      <c r="AM94" s="3">
        <v>1</v>
      </c>
      <c r="AN94" s="3">
        <v>0</v>
      </c>
      <c r="AO94" s="3">
        <v>0</v>
      </c>
      <c r="AP94" s="3">
        <v>1</v>
      </c>
      <c r="AQ94" s="3">
        <v>0</v>
      </c>
      <c r="AR94" s="3">
        <v>1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7" t="s">
        <v>356</v>
      </c>
      <c r="BX94" s="7" t="s">
        <v>357</v>
      </c>
    </row>
    <row r="95" spans="1:76">
      <c r="A95" s="3" t="s">
        <v>358</v>
      </c>
      <c r="B95" s="3">
        <v>2690</v>
      </c>
      <c r="C95" s="3" t="s">
        <v>355</v>
      </c>
      <c r="D95" s="3">
        <v>2</v>
      </c>
      <c r="E95" s="4">
        <v>83</v>
      </c>
      <c r="F95" s="3" t="s">
        <v>78</v>
      </c>
      <c r="G95" s="3">
        <v>0</v>
      </c>
      <c r="H95" s="3">
        <v>0</v>
      </c>
      <c r="I95" s="4">
        <v>0</v>
      </c>
      <c r="J95" s="4">
        <v>12</v>
      </c>
      <c r="K95" s="4">
        <v>12</v>
      </c>
      <c r="L95" s="5">
        <f>IF(F95="F",65.79,IF(F95="M",79.94,""))</f>
        <v>79.94</v>
      </c>
      <c r="M95" s="3">
        <f t="shared" si="7"/>
        <v>0</v>
      </c>
      <c r="N95" s="3" t="str">
        <f t="shared" si="8"/>
        <v>VSC-non-halitosis</v>
      </c>
      <c r="O95" s="3" t="str">
        <f t="shared" si="9"/>
        <v>Clinical- / VSC-</v>
      </c>
      <c r="P95" s="5">
        <f t="shared" si="10"/>
        <v>2.4849066497880004</v>
      </c>
      <c r="Q95" s="5">
        <f t="shared" si="11"/>
        <v>0</v>
      </c>
      <c r="R95" s="5">
        <f t="shared" si="11"/>
        <v>2.5649493574615367</v>
      </c>
      <c r="S95" s="5">
        <f t="shared" si="12"/>
        <v>1</v>
      </c>
      <c r="T95" s="3">
        <f t="shared" si="13"/>
        <v>1</v>
      </c>
      <c r="U95" s="3" t="s">
        <v>79</v>
      </c>
      <c r="V95" s="3">
        <v>2</v>
      </c>
      <c r="W95" s="6">
        <v>6.4</v>
      </c>
      <c r="X95" s="4">
        <v>9</v>
      </c>
      <c r="Y95" s="5">
        <v>0.75</v>
      </c>
      <c r="Z95" s="5">
        <v>2</v>
      </c>
      <c r="AA95" s="3" t="s">
        <v>80</v>
      </c>
      <c r="AB95" s="3">
        <v>0</v>
      </c>
      <c r="AC95" s="3" t="s">
        <v>113</v>
      </c>
      <c r="AD95" s="3">
        <v>0</v>
      </c>
      <c r="AE95" s="3" t="s">
        <v>98</v>
      </c>
      <c r="AF95" s="3">
        <v>0</v>
      </c>
      <c r="AG95" s="3" t="s">
        <v>108</v>
      </c>
      <c r="AH95" s="3">
        <v>1</v>
      </c>
      <c r="AI95" s="3">
        <v>3</v>
      </c>
      <c r="AJ95" s="3">
        <v>0</v>
      </c>
      <c r="AK95" s="3">
        <v>0</v>
      </c>
      <c r="AL95" s="3">
        <v>0</v>
      </c>
      <c r="AM95" s="3">
        <v>1</v>
      </c>
      <c r="AN95" s="3">
        <v>0</v>
      </c>
      <c r="AO95" s="3">
        <v>0</v>
      </c>
      <c r="AP95" s="3">
        <v>1</v>
      </c>
      <c r="AQ95" s="3">
        <v>0</v>
      </c>
      <c r="AR95" s="3">
        <v>1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7" t="s">
        <v>356</v>
      </c>
      <c r="BX95" s="7" t="s">
        <v>357</v>
      </c>
    </row>
    <row r="96" spans="1:76">
      <c r="A96" s="3" t="s">
        <v>359</v>
      </c>
      <c r="B96" s="3">
        <v>5445</v>
      </c>
      <c r="C96" s="3" t="s">
        <v>360</v>
      </c>
      <c r="D96" s="3">
        <v>1</v>
      </c>
      <c r="E96" s="4">
        <v>62</v>
      </c>
      <c r="F96" s="3" t="s">
        <v>87</v>
      </c>
      <c r="G96" s="3">
        <v>0</v>
      </c>
      <c r="H96" s="3">
        <v>0</v>
      </c>
      <c r="I96" s="4">
        <v>25</v>
      </c>
      <c r="J96" s="4">
        <v>8</v>
      </c>
      <c r="K96" s="4">
        <v>33</v>
      </c>
      <c r="L96" s="5">
        <f>IF(F96="F",65.79,IF(F96="M",79.94,""))</f>
        <v>65.790000000000006</v>
      </c>
      <c r="M96" s="3">
        <f t="shared" si="7"/>
        <v>0</v>
      </c>
      <c r="N96" s="3" t="str">
        <f t="shared" si="8"/>
        <v>VSC-non-halitosis</v>
      </c>
      <c r="O96" s="3" t="str">
        <f t="shared" si="9"/>
        <v>Clinical- / VSC-</v>
      </c>
      <c r="P96" s="5">
        <f t="shared" si="10"/>
        <v>3.4965075614664802</v>
      </c>
      <c r="Q96" s="5">
        <f t="shared" si="11"/>
        <v>3.2580965380214821</v>
      </c>
      <c r="R96" s="5">
        <f t="shared" si="11"/>
        <v>2.1972245773362196</v>
      </c>
      <c r="S96" s="5">
        <f t="shared" si="12"/>
        <v>0.24242424242424243</v>
      </c>
      <c r="T96" s="3">
        <f t="shared" si="13"/>
        <v>0</v>
      </c>
      <c r="U96" s="3" t="s">
        <v>96</v>
      </c>
      <c r="V96" s="3">
        <v>3</v>
      </c>
      <c r="W96" s="6">
        <v>6.4</v>
      </c>
      <c r="X96" s="4">
        <v>10</v>
      </c>
      <c r="Y96" s="5">
        <v>0.4</v>
      </c>
      <c r="Z96" s="5">
        <v>1.2</v>
      </c>
      <c r="AA96" s="3" t="s">
        <v>80</v>
      </c>
      <c r="AB96" s="3">
        <v>0</v>
      </c>
      <c r="AC96" s="3" t="s">
        <v>81</v>
      </c>
      <c r="AD96" s="3">
        <v>0</v>
      </c>
      <c r="AE96" s="3" t="s">
        <v>82</v>
      </c>
      <c r="AF96" s="3">
        <v>1</v>
      </c>
      <c r="AG96" s="3" t="s">
        <v>98</v>
      </c>
      <c r="AH96" s="3">
        <v>0</v>
      </c>
      <c r="AI96" s="3">
        <v>2</v>
      </c>
      <c r="AJ96" s="3">
        <v>1</v>
      </c>
      <c r="AK96" s="3">
        <v>0</v>
      </c>
      <c r="AL96" s="3">
        <v>0</v>
      </c>
      <c r="AM96" s="3">
        <v>0</v>
      </c>
      <c r="AN96" s="3">
        <v>1</v>
      </c>
      <c r="AO96" s="3">
        <v>1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1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7" t="s">
        <v>328</v>
      </c>
      <c r="BX96" s="7" t="s">
        <v>361</v>
      </c>
    </row>
    <row r="97" spans="1:76" ht="51">
      <c r="A97" s="3" t="s">
        <v>362</v>
      </c>
      <c r="B97" s="3">
        <v>4555</v>
      </c>
      <c r="C97" s="3" t="s">
        <v>363</v>
      </c>
      <c r="D97" s="3">
        <v>1</v>
      </c>
      <c r="E97" s="4">
        <v>76</v>
      </c>
      <c r="F97" s="3" t="s">
        <v>87</v>
      </c>
      <c r="G97" s="3">
        <v>0</v>
      </c>
      <c r="H97" s="3">
        <v>0</v>
      </c>
      <c r="I97" s="4">
        <v>91</v>
      </c>
      <c r="J97" s="4">
        <v>1</v>
      </c>
      <c r="K97" s="4">
        <v>92</v>
      </c>
      <c r="L97" s="5">
        <f>IF(F97="F",65.79,IF(F97="M",79.94,""))</f>
        <v>65.790000000000006</v>
      </c>
      <c r="M97" s="3">
        <f t="shared" si="7"/>
        <v>1</v>
      </c>
      <c r="N97" s="3" t="str">
        <f t="shared" si="8"/>
        <v>VSC-halitosis</v>
      </c>
      <c r="O97" s="3" t="str">
        <f t="shared" si="9"/>
        <v>Clinical- / VSC+</v>
      </c>
      <c r="P97" s="5">
        <f t="shared" si="10"/>
        <v>4.5217885770490405</v>
      </c>
      <c r="Q97" s="5">
        <f t="shared" si="11"/>
        <v>4.5217885770490405</v>
      </c>
      <c r="R97" s="5">
        <f t="shared" si="11"/>
        <v>0.69314718055994529</v>
      </c>
      <c r="S97" s="5">
        <f t="shared" si="12"/>
        <v>1.0869565217391304E-2</v>
      </c>
      <c r="T97" s="3">
        <f t="shared" si="13"/>
        <v>0</v>
      </c>
      <c r="U97" s="3" t="s">
        <v>96</v>
      </c>
      <c r="V97" s="3">
        <v>3</v>
      </c>
      <c r="W97" s="6">
        <v>6.4</v>
      </c>
      <c r="X97" s="4">
        <v>6</v>
      </c>
      <c r="Y97" s="5">
        <v>0.25</v>
      </c>
      <c r="Z97" s="5">
        <v>1.7</v>
      </c>
      <c r="AA97" s="3" t="s">
        <v>88</v>
      </c>
      <c r="AB97" s="3">
        <v>0</v>
      </c>
      <c r="AC97" s="3" t="s">
        <v>113</v>
      </c>
      <c r="AD97" s="3">
        <v>0</v>
      </c>
      <c r="AE97" s="3" t="s">
        <v>98</v>
      </c>
      <c r="AF97" s="3">
        <v>0</v>
      </c>
      <c r="AG97" s="3" t="s">
        <v>103</v>
      </c>
      <c r="AH97" s="3">
        <v>1</v>
      </c>
      <c r="AI97" s="3">
        <v>3</v>
      </c>
      <c r="AJ97" s="3">
        <v>2</v>
      </c>
      <c r="AK97" s="3">
        <v>1</v>
      </c>
      <c r="AL97" s="3">
        <v>1</v>
      </c>
      <c r="AM97" s="3">
        <v>1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1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1</v>
      </c>
      <c r="BH97" s="3">
        <v>0</v>
      </c>
      <c r="BI97" s="3">
        <v>0</v>
      </c>
      <c r="BJ97" s="3">
        <v>0</v>
      </c>
      <c r="BK97" s="3">
        <v>1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7" t="s">
        <v>364</v>
      </c>
      <c r="BX97" s="7" t="s">
        <v>365</v>
      </c>
    </row>
    <row r="98" spans="1:76">
      <c r="A98" s="3" t="s">
        <v>366</v>
      </c>
      <c r="B98" s="3">
        <v>6079</v>
      </c>
      <c r="C98" s="3" t="s">
        <v>367</v>
      </c>
      <c r="D98" s="3">
        <v>1</v>
      </c>
      <c r="E98" s="4">
        <v>55</v>
      </c>
      <c r="F98" s="3" t="s">
        <v>87</v>
      </c>
      <c r="G98" s="3">
        <v>0</v>
      </c>
      <c r="H98" s="3">
        <v>0</v>
      </c>
      <c r="I98" s="4">
        <v>10</v>
      </c>
      <c r="J98" s="4">
        <v>0</v>
      </c>
      <c r="K98" s="4">
        <v>10</v>
      </c>
      <c r="L98" s="5">
        <f>IF(F98="F",65.79,IF(F98="M",79.94,""))</f>
        <v>65.790000000000006</v>
      </c>
      <c r="M98" s="3">
        <f t="shared" si="7"/>
        <v>0</v>
      </c>
      <c r="N98" s="3" t="str">
        <f t="shared" si="8"/>
        <v>VSC-non-halitosis</v>
      </c>
      <c r="O98" s="3" t="str">
        <f t="shared" si="9"/>
        <v>Clinical- / VSC-</v>
      </c>
      <c r="P98" s="5">
        <f t="shared" si="10"/>
        <v>2.3025850929940459</v>
      </c>
      <c r="Q98" s="5">
        <f t="shared" si="11"/>
        <v>2.3978952727983707</v>
      </c>
      <c r="R98" s="5">
        <f t="shared" si="11"/>
        <v>0</v>
      </c>
      <c r="S98" s="5">
        <f t="shared" si="12"/>
        <v>0</v>
      </c>
      <c r="T98" s="3">
        <f t="shared" si="13"/>
        <v>0</v>
      </c>
      <c r="U98" s="3" t="s">
        <v>79</v>
      </c>
      <c r="V98" s="3">
        <v>2</v>
      </c>
      <c r="W98" s="6">
        <v>6.4</v>
      </c>
      <c r="X98" s="4">
        <v>9</v>
      </c>
      <c r="Y98" s="5">
        <v>0.5</v>
      </c>
      <c r="Z98" s="5">
        <v>1.5</v>
      </c>
      <c r="AA98" s="3" t="s">
        <v>80</v>
      </c>
      <c r="AB98" s="3">
        <v>0</v>
      </c>
      <c r="AC98" s="3" t="s">
        <v>113</v>
      </c>
      <c r="AD98" s="3">
        <v>0</v>
      </c>
      <c r="AE98" s="3" t="s">
        <v>82</v>
      </c>
      <c r="AF98" s="3">
        <v>1</v>
      </c>
      <c r="AG98" s="3" t="s">
        <v>98</v>
      </c>
      <c r="AH98" s="3">
        <v>0</v>
      </c>
      <c r="AI98" s="3">
        <v>1</v>
      </c>
      <c r="AJ98" s="3">
        <v>1</v>
      </c>
      <c r="AK98" s="3">
        <v>0</v>
      </c>
      <c r="AL98" s="3">
        <v>0</v>
      </c>
      <c r="AM98" s="3">
        <v>0</v>
      </c>
      <c r="AN98" s="3">
        <v>1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1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7" t="s">
        <v>119</v>
      </c>
      <c r="BX98" s="7" t="s">
        <v>368</v>
      </c>
    </row>
    <row r="99" spans="1:76">
      <c r="A99" s="3" t="s">
        <v>369</v>
      </c>
      <c r="B99" s="3">
        <v>5026</v>
      </c>
      <c r="C99" s="3" t="s">
        <v>370</v>
      </c>
      <c r="D99" s="3">
        <v>2</v>
      </c>
      <c r="E99" s="4">
        <v>76</v>
      </c>
      <c r="F99" s="3" t="s">
        <v>87</v>
      </c>
      <c r="G99" s="3">
        <v>0</v>
      </c>
      <c r="H99" s="3">
        <v>0</v>
      </c>
      <c r="I99" s="4">
        <v>465</v>
      </c>
      <c r="J99" s="4">
        <v>3</v>
      </c>
      <c r="K99" s="4">
        <v>468</v>
      </c>
      <c r="L99" s="5">
        <f>IF(F99="F",65.79,IF(F99="M",79.94,""))</f>
        <v>65.790000000000006</v>
      </c>
      <c r="M99" s="3">
        <f t="shared" si="7"/>
        <v>1</v>
      </c>
      <c r="N99" s="3" t="str">
        <f t="shared" si="8"/>
        <v>VSC-halitosis</v>
      </c>
      <c r="O99" s="3" t="str">
        <f t="shared" si="9"/>
        <v>Clinical- / VSC+</v>
      </c>
      <c r="P99" s="5">
        <f t="shared" si="10"/>
        <v>6.1484682959176471</v>
      </c>
      <c r="Q99" s="5">
        <f t="shared" si="11"/>
        <v>6.1441856341256456</v>
      </c>
      <c r="R99" s="5">
        <f t="shared" si="11"/>
        <v>1.3862943611198906</v>
      </c>
      <c r="S99" s="5">
        <f t="shared" si="12"/>
        <v>6.41025641025641E-3</v>
      </c>
      <c r="T99" s="3">
        <f t="shared" si="13"/>
        <v>0</v>
      </c>
      <c r="U99" s="3" t="s">
        <v>96</v>
      </c>
      <c r="V99" s="3">
        <v>3</v>
      </c>
      <c r="W99" s="6">
        <v>7.4</v>
      </c>
      <c r="X99" s="4">
        <v>8</v>
      </c>
      <c r="Y99" s="5">
        <v>1.2</v>
      </c>
      <c r="Z99" s="5">
        <v>2</v>
      </c>
      <c r="AA99" s="3" t="s">
        <v>88</v>
      </c>
      <c r="AB99" s="3">
        <v>0</v>
      </c>
      <c r="AC99" s="3" t="s">
        <v>81</v>
      </c>
      <c r="AD99" s="3">
        <v>0</v>
      </c>
      <c r="AE99" s="3" t="s">
        <v>98</v>
      </c>
      <c r="AF99" s="3">
        <v>0</v>
      </c>
      <c r="AG99" s="3" t="s">
        <v>98</v>
      </c>
      <c r="AH99" s="3">
        <v>0</v>
      </c>
      <c r="AI99" s="3">
        <v>1</v>
      </c>
      <c r="AJ99" s="3">
        <v>1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1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7"/>
      <c r="BX99" s="7" t="s">
        <v>371</v>
      </c>
    </row>
    <row r="100" spans="1:76">
      <c r="A100" s="3" t="s">
        <v>372</v>
      </c>
      <c r="B100" s="3">
        <v>5548</v>
      </c>
      <c r="C100" s="3" t="s">
        <v>370</v>
      </c>
      <c r="D100" s="3">
        <v>2</v>
      </c>
      <c r="E100" s="4">
        <v>76</v>
      </c>
      <c r="F100" s="3" t="s">
        <v>87</v>
      </c>
      <c r="G100" s="3">
        <v>0</v>
      </c>
      <c r="H100" s="3">
        <v>0</v>
      </c>
      <c r="I100" s="4">
        <v>465</v>
      </c>
      <c r="J100" s="4">
        <v>3</v>
      </c>
      <c r="K100" s="4">
        <v>468</v>
      </c>
      <c r="L100" s="5">
        <f>IF(F100="F",65.79,IF(F100="M",79.94,""))</f>
        <v>65.790000000000006</v>
      </c>
      <c r="M100" s="3">
        <f t="shared" si="7"/>
        <v>1</v>
      </c>
      <c r="N100" s="3" t="str">
        <f t="shared" si="8"/>
        <v>VSC-halitosis</v>
      </c>
      <c r="O100" s="3" t="str">
        <f t="shared" si="9"/>
        <v>Clinical- / VSC+</v>
      </c>
      <c r="P100" s="5">
        <f t="shared" si="10"/>
        <v>6.1484682959176471</v>
      </c>
      <c r="Q100" s="5">
        <f t="shared" si="11"/>
        <v>6.1441856341256456</v>
      </c>
      <c r="R100" s="5">
        <f t="shared" si="11"/>
        <v>1.3862943611198906</v>
      </c>
      <c r="S100" s="5">
        <f t="shared" si="12"/>
        <v>6.41025641025641E-3</v>
      </c>
      <c r="T100" s="3">
        <f t="shared" si="13"/>
        <v>0</v>
      </c>
      <c r="U100" s="3" t="s">
        <v>96</v>
      </c>
      <c r="V100" s="3">
        <v>3</v>
      </c>
      <c r="W100" s="6">
        <v>7.4</v>
      </c>
      <c r="X100" s="4">
        <v>8</v>
      </c>
      <c r="Y100" s="5">
        <v>1.2</v>
      </c>
      <c r="Z100" s="5">
        <v>2</v>
      </c>
      <c r="AA100" s="3" t="s">
        <v>80</v>
      </c>
      <c r="AB100" s="3">
        <v>0</v>
      </c>
      <c r="AC100" s="3" t="s">
        <v>81</v>
      </c>
      <c r="AD100" s="3">
        <v>0</v>
      </c>
      <c r="AE100" s="3" t="s">
        <v>98</v>
      </c>
      <c r="AF100" s="3">
        <v>0</v>
      </c>
      <c r="AG100" s="3" t="s">
        <v>82</v>
      </c>
      <c r="AH100" s="3">
        <v>1</v>
      </c>
      <c r="AI100" s="3">
        <v>2</v>
      </c>
      <c r="AJ100" s="3">
        <v>2</v>
      </c>
      <c r="AK100" s="3">
        <v>0</v>
      </c>
      <c r="AL100" s="3">
        <v>0</v>
      </c>
      <c r="AM100" s="3">
        <v>0</v>
      </c>
      <c r="AN100" s="3">
        <v>1</v>
      </c>
      <c r="AO100" s="3">
        <v>0</v>
      </c>
      <c r="AP100" s="3">
        <v>0</v>
      </c>
      <c r="AQ100" s="3">
        <v>1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1</v>
      </c>
      <c r="BG100" s="3">
        <v>0</v>
      </c>
      <c r="BH100" s="3">
        <v>1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7"/>
      <c r="BX100" s="7" t="s">
        <v>373</v>
      </c>
    </row>
    <row r="101" spans="1:76">
      <c r="A101" s="3" t="s">
        <v>374</v>
      </c>
      <c r="B101" s="3">
        <v>6046</v>
      </c>
      <c r="C101" s="3" t="s">
        <v>375</v>
      </c>
      <c r="D101" s="3">
        <v>1</v>
      </c>
      <c r="E101" s="4">
        <v>82</v>
      </c>
      <c r="F101" s="3" t="s">
        <v>87</v>
      </c>
      <c r="G101" s="3">
        <v>0</v>
      </c>
      <c r="H101" s="3">
        <v>0</v>
      </c>
      <c r="I101" s="4">
        <v>43</v>
      </c>
      <c r="J101" s="4">
        <v>5</v>
      </c>
      <c r="K101" s="4">
        <v>48</v>
      </c>
      <c r="L101" s="5">
        <f>IF(F101="F",65.79,IF(F101="M",79.94,""))</f>
        <v>65.790000000000006</v>
      </c>
      <c r="M101" s="3">
        <f t="shared" si="7"/>
        <v>0</v>
      </c>
      <c r="N101" s="3" t="str">
        <f t="shared" si="8"/>
        <v>VSC-non-halitosis</v>
      </c>
      <c r="O101" s="3" t="str">
        <f t="shared" si="9"/>
        <v>Clinical- / VSC-</v>
      </c>
      <c r="P101" s="5">
        <f t="shared" si="10"/>
        <v>3.8712010109078911</v>
      </c>
      <c r="Q101" s="5">
        <f t="shared" si="11"/>
        <v>3.784189633918261</v>
      </c>
      <c r="R101" s="5">
        <f t="shared" si="11"/>
        <v>1.791759469228055</v>
      </c>
      <c r="S101" s="5">
        <f t="shared" si="12"/>
        <v>0.10416666666666667</v>
      </c>
      <c r="T101" s="3">
        <f t="shared" si="13"/>
        <v>0</v>
      </c>
      <c r="U101" s="3" t="s">
        <v>96</v>
      </c>
      <c r="V101" s="3">
        <v>3</v>
      </c>
      <c r="W101" s="6">
        <v>6.4</v>
      </c>
      <c r="X101" s="4">
        <v>9</v>
      </c>
      <c r="Y101" s="5">
        <v>0.5</v>
      </c>
      <c r="Z101" s="5">
        <v>1</v>
      </c>
      <c r="AA101" s="3" t="s">
        <v>80</v>
      </c>
      <c r="AB101" s="3">
        <v>0</v>
      </c>
      <c r="AC101" s="3" t="s">
        <v>113</v>
      </c>
      <c r="AD101" s="3">
        <v>0</v>
      </c>
      <c r="AE101" s="3" t="s">
        <v>82</v>
      </c>
      <c r="AF101" s="3">
        <v>1</v>
      </c>
      <c r="AG101" s="3" t="s">
        <v>98</v>
      </c>
      <c r="AH101" s="3">
        <v>0</v>
      </c>
      <c r="AI101" s="3">
        <v>2</v>
      </c>
      <c r="AJ101" s="3">
        <v>1</v>
      </c>
      <c r="AK101" s="3">
        <v>0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1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1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7" t="s">
        <v>186</v>
      </c>
      <c r="BX101" s="7" t="s">
        <v>376</v>
      </c>
    </row>
    <row r="102" spans="1:76">
      <c r="A102" s="3" t="s">
        <v>377</v>
      </c>
      <c r="B102" s="3">
        <v>3868</v>
      </c>
      <c r="C102" s="3" t="s">
        <v>378</v>
      </c>
      <c r="D102" s="3">
        <v>1</v>
      </c>
      <c r="E102" s="4">
        <v>74</v>
      </c>
      <c r="F102" s="3" t="s">
        <v>87</v>
      </c>
      <c r="G102" s="3">
        <v>0</v>
      </c>
      <c r="H102" s="3">
        <v>0</v>
      </c>
      <c r="I102" s="4">
        <v>191</v>
      </c>
      <c r="J102" s="4">
        <v>49</v>
      </c>
      <c r="K102" s="4">
        <v>240</v>
      </c>
      <c r="L102" s="5">
        <f>IF(F102="F",65.79,IF(F102="M",79.94,""))</f>
        <v>65.790000000000006</v>
      </c>
      <c r="M102" s="3">
        <f t="shared" si="7"/>
        <v>1</v>
      </c>
      <c r="N102" s="3" t="str">
        <f t="shared" si="8"/>
        <v>VSC-halitosis</v>
      </c>
      <c r="O102" s="3" t="str">
        <f t="shared" si="9"/>
        <v>Clinical- / VSC+</v>
      </c>
      <c r="P102" s="5">
        <f t="shared" si="10"/>
        <v>5.4806389233419912</v>
      </c>
      <c r="Q102" s="5">
        <f t="shared" si="11"/>
        <v>5.2574953720277815</v>
      </c>
      <c r="R102" s="5">
        <f t="shared" si="11"/>
        <v>3.912023005428146</v>
      </c>
      <c r="S102" s="5">
        <f t="shared" si="12"/>
        <v>0.20416666666666666</v>
      </c>
      <c r="T102" s="3">
        <f t="shared" si="13"/>
        <v>0</v>
      </c>
      <c r="U102" s="3" t="s">
        <v>96</v>
      </c>
      <c r="V102" s="3">
        <v>3</v>
      </c>
      <c r="W102" s="6">
        <v>6.4</v>
      </c>
      <c r="X102" s="4">
        <v>12</v>
      </c>
      <c r="Y102" s="5">
        <v>0.3</v>
      </c>
      <c r="Z102" s="5">
        <v>2</v>
      </c>
      <c r="AA102" s="3" t="s">
        <v>80</v>
      </c>
      <c r="AB102" s="3">
        <v>0</v>
      </c>
      <c r="AC102" s="3" t="s">
        <v>81</v>
      </c>
      <c r="AD102" s="3">
        <v>0</v>
      </c>
      <c r="AE102" s="3" t="s">
        <v>98</v>
      </c>
      <c r="AF102" s="3">
        <v>0</v>
      </c>
      <c r="AG102" s="3" t="s">
        <v>98</v>
      </c>
      <c r="AH102" s="3">
        <v>0</v>
      </c>
      <c r="AI102" s="3">
        <v>2</v>
      </c>
      <c r="AJ102" s="3">
        <v>0</v>
      </c>
      <c r="AK102" s="3">
        <v>0</v>
      </c>
      <c r="AL102" s="3">
        <v>1</v>
      </c>
      <c r="AM102" s="3">
        <v>0</v>
      </c>
      <c r="AN102" s="3">
        <v>0</v>
      </c>
      <c r="AO102" s="3">
        <v>0</v>
      </c>
      <c r="AP102" s="3">
        <v>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7" t="s">
        <v>173</v>
      </c>
      <c r="BX102" s="7" t="s">
        <v>119</v>
      </c>
    </row>
    <row r="103" spans="1:76">
      <c r="A103" s="3" t="s">
        <v>379</v>
      </c>
      <c r="B103" s="3">
        <v>3083</v>
      </c>
      <c r="C103" s="3" t="s">
        <v>380</v>
      </c>
      <c r="D103" s="3">
        <v>1</v>
      </c>
      <c r="E103" s="4">
        <v>55</v>
      </c>
      <c r="F103" s="3" t="s">
        <v>87</v>
      </c>
      <c r="G103" s="3">
        <v>0</v>
      </c>
      <c r="H103" s="3">
        <v>0</v>
      </c>
      <c r="I103" s="4">
        <v>125</v>
      </c>
      <c r="J103" s="4">
        <v>215</v>
      </c>
      <c r="K103" s="4">
        <v>340</v>
      </c>
      <c r="L103" s="5">
        <f>IF(F103="F",65.79,IF(F103="M",79.94,""))</f>
        <v>65.790000000000006</v>
      </c>
      <c r="M103" s="3">
        <f t="shared" si="7"/>
        <v>1</v>
      </c>
      <c r="N103" s="3" t="str">
        <f t="shared" si="8"/>
        <v>VSC-halitosis</v>
      </c>
      <c r="O103" s="3" t="str">
        <f t="shared" si="9"/>
        <v>Clinical- / VSC+</v>
      </c>
      <c r="P103" s="5">
        <f t="shared" si="10"/>
        <v>5.8289456176102075</v>
      </c>
      <c r="Q103" s="5">
        <f t="shared" si="11"/>
        <v>4.836281906951478</v>
      </c>
      <c r="R103" s="5">
        <f t="shared" si="11"/>
        <v>5.3752784076841653</v>
      </c>
      <c r="S103" s="5">
        <f t="shared" si="12"/>
        <v>0.63235294117647056</v>
      </c>
      <c r="T103" s="3">
        <f t="shared" si="13"/>
        <v>1</v>
      </c>
      <c r="U103" s="3" t="s">
        <v>96</v>
      </c>
      <c r="V103" s="3">
        <v>3</v>
      </c>
      <c r="W103" s="6">
        <v>6.6</v>
      </c>
      <c r="X103" s="4">
        <v>11</v>
      </c>
      <c r="Y103" s="5">
        <v>0.8</v>
      </c>
      <c r="Z103" s="5">
        <v>1.5</v>
      </c>
      <c r="AA103" s="3" t="s">
        <v>80</v>
      </c>
      <c r="AB103" s="3">
        <v>0</v>
      </c>
      <c r="AC103" s="3" t="s">
        <v>81</v>
      </c>
      <c r="AD103" s="3">
        <v>0</v>
      </c>
      <c r="AE103" s="3" t="s">
        <v>82</v>
      </c>
      <c r="AF103" s="3">
        <v>1</v>
      </c>
      <c r="AG103" s="3" t="s">
        <v>98</v>
      </c>
      <c r="AH103" s="3">
        <v>0</v>
      </c>
      <c r="AI103" s="3">
        <v>1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1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7" t="s">
        <v>381</v>
      </c>
      <c r="BX103" s="7" t="s">
        <v>119</v>
      </c>
    </row>
    <row r="104" spans="1:76" ht="34">
      <c r="A104" s="3" t="s">
        <v>382</v>
      </c>
      <c r="B104" s="3">
        <v>6637</v>
      </c>
      <c r="C104" s="3" t="s">
        <v>383</v>
      </c>
      <c r="D104" s="3">
        <v>1</v>
      </c>
      <c r="E104" s="4">
        <v>68</v>
      </c>
      <c r="F104" s="3" t="s">
        <v>87</v>
      </c>
      <c r="G104" s="3">
        <v>0</v>
      </c>
      <c r="H104" s="3">
        <v>0</v>
      </c>
      <c r="I104" s="4">
        <v>1</v>
      </c>
      <c r="J104" s="4">
        <v>0</v>
      </c>
      <c r="K104" s="4">
        <v>1</v>
      </c>
      <c r="L104" s="5">
        <f>IF(F104="F",65.79,IF(F104="M",79.94,""))</f>
        <v>65.790000000000006</v>
      </c>
      <c r="M104" s="3">
        <f t="shared" si="7"/>
        <v>0</v>
      </c>
      <c r="N104" s="3" t="str">
        <f t="shared" si="8"/>
        <v>VSC-non-halitosis</v>
      </c>
      <c r="O104" s="3" t="str">
        <f t="shared" si="9"/>
        <v>Clinical- / VSC-</v>
      </c>
      <c r="P104" s="5">
        <f t="shared" si="10"/>
        <v>0</v>
      </c>
      <c r="Q104" s="5">
        <f t="shared" si="11"/>
        <v>0.69314718055994529</v>
      </c>
      <c r="R104" s="5">
        <f t="shared" si="11"/>
        <v>0</v>
      </c>
      <c r="S104" s="5">
        <f t="shared" si="12"/>
        <v>0</v>
      </c>
      <c r="T104" s="3">
        <f t="shared" si="13"/>
        <v>0</v>
      </c>
      <c r="U104" s="3" t="s">
        <v>102</v>
      </c>
      <c r="V104" s="3">
        <v>1</v>
      </c>
      <c r="W104" s="6">
        <v>5.6</v>
      </c>
      <c r="X104" s="4">
        <v>12</v>
      </c>
      <c r="Y104" s="5">
        <v>0.3</v>
      </c>
      <c r="Z104" s="5">
        <v>1</v>
      </c>
      <c r="AA104" s="3" t="s">
        <v>80</v>
      </c>
      <c r="AB104" s="3">
        <v>0</v>
      </c>
      <c r="AC104" s="3" t="s">
        <v>81</v>
      </c>
      <c r="AD104" s="3">
        <v>0</v>
      </c>
      <c r="AE104" s="3" t="s">
        <v>82</v>
      </c>
      <c r="AF104" s="3">
        <v>1</v>
      </c>
      <c r="AG104" s="3" t="s">
        <v>103</v>
      </c>
      <c r="AH104" s="3">
        <v>1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7" t="s">
        <v>384</v>
      </c>
      <c r="BX104" s="7" t="s">
        <v>80</v>
      </c>
    </row>
    <row r="105" spans="1:76" ht="34">
      <c r="A105" s="3" t="s">
        <v>385</v>
      </c>
      <c r="B105" s="3">
        <v>4130</v>
      </c>
      <c r="C105" s="3" t="s">
        <v>386</v>
      </c>
      <c r="D105" s="3">
        <v>1</v>
      </c>
      <c r="E105" s="4">
        <v>55</v>
      </c>
      <c r="F105" s="3" t="s">
        <v>78</v>
      </c>
      <c r="G105" s="3">
        <v>0</v>
      </c>
      <c r="H105" s="3">
        <v>0</v>
      </c>
      <c r="I105" s="4">
        <v>19</v>
      </c>
      <c r="J105" s="4">
        <v>5</v>
      </c>
      <c r="K105" s="4">
        <v>24</v>
      </c>
      <c r="L105" s="5">
        <f>IF(F105="F",65.79,IF(F105="M",79.94,""))</f>
        <v>79.94</v>
      </c>
      <c r="M105" s="3">
        <f t="shared" si="7"/>
        <v>0</v>
      </c>
      <c r="N105" s="3" t="str">
        <f t="shared" si="8"/>
        <v>VSC-non-halitosis</v>
      </c>
      <c r="O105" s="3" t="str">
        <f t="shared" si="9"/>
        <v>Clinical- / VSC-</v>
      </c>
      <c r="P105" s="5">
        <f t="shared" si="10"/>
        <v>3.1780538303479458</v>
      </c>
      <c r="Q105" s="5">
        <f t="shared" si="11"/>
        <v>2.9957322735539909</v>
      </c>
      <c r="R105" s="5">
        <f t="shared" si="11"/>
        <v>1.791759469228055</v>
      </c>
      <c r="S105" s="5">
        <f t="shared" si="12"/>
        <v>0.20833333333333334</v>
      </c>
      <c r="T105" s="3">
        <f t="shared" si="13"/>
        <v>0</v>
      </c>
      <c r="U105" s="3" t="s">
        <v>79</v>
      </c>
      <c r="V105" s="3">
        <v>2</v>
      </c>
      <c r="W105" s="6">
        <v>6.4</v>
      </c>
      <c r="X105" s="4">
        <v>12</v>
      </c>
      <c r="Y105" s="5">
        <v>0.2</v>
      </c>
      <c r="Z105" s="5">
        <v>2.6</v>
      </c>
      <c r="AA105" s="3" t="s">
        <v>88</v>
      </c>
      <c r="AB105" s="3">
        <v>0</v>
      </c>
      <c r="AC105" s="3" t="s">
        <v>89</v>
      </c>
      <c r="AD105" s="3">
        <v>1</v>
      </c>
      <c r="AE105" s="3" t="s">
        <v>82</v>
      </c>
      <c r="AF105" s="3">
        <v>1</v>
      </c>
      <c r="AG105" s="3" t="s">
        <v>82</v>
      </c>
      <c r="AH105" s="3">
        <v>1</v>
      </c>
      <c r="AI105" s="3">
        <v>2</v>
      </c>
      <c r="AJ105" s="3">
        <v>2</v>
      </c>
      <c r="AK105" s="3">
        <v>0</v>
      </c>
      <c r="AL105" s="3">
        <v>1</v>
      </c>
      <c r="AM105" s="3">
        <v>0</v>
      </c>
      <c r="AN105" s="3">
        <v>1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1</v>
      </c>
      <c r="BG105" s="3">
        <v>0</v>
      </c>
      <c r="BH105" s="3">
        <v>0</v>
      </c>
      <c r="BI105" s="3">
        <v>1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7" t="s">
        <v>186</v>
      </c>
      <c r="BX105" s="7" t="s">
        <v>387</v>
      </c>
    </row>
    <row r="106" spans="1:76">
      <c r="A106" s="3" t="s">
        <v>388</v>
      </c>
      <c r="B106" s="3">
        <v>3990</v>
      </c>
      <c r="C106" s="3" t="s">
        <v>389</v>
      </c>
      <c r="D106" s="3">
        <v>1</v>
      </c>
      <c r="E106" s="4">
        <v>85</v>
      </c>
      <c r="F106" s="3" t="s">
        <v>87</v>
      </c>
      <c r="G106" s="3">
        <v>0</v>
      </c>
      <c r="H106" s="3">
        <v>0</v>
      </c>
      <c r="I106" s="4">
        <v>66</v>
      </c>
      <c r="J106" s="4">
        <v>17</v>
      </c>
      <c r="K106" s="4">
        <v>83</v>
      </c>
      <c r="L106" s="5">
        <f>IF(F106="F",65.79,IF(F106="M",79.94,""))</f>
        <v>65.790000000000006</v>
      </c>
      <c r="M106" s="3">
        <f t="shared" si="7"/>
        <v>1</v>
      </c>
      <c r="N106" s="3" t="str">
        <f t="shared" si="8"/>
        <v>VSC-halitosis</v>
      </c>
      <c r="O106" s="3" t="str">
        <f t="shared" si="9"/>
        <v>Clinical- / VSC+</v>
      </c>
      <c r="P106" s="5">
        <f t="shared" si="10"/>
        <v>4.4188406077965983</v>
      </c>
      <c r="Q106" s="5">
        <f t="shared" si="11"/>
        <v>4.2046926193909657</v>
      </c>
      <c r="R106" s="5">
        <f t="shared" si="11"/>
        <v>2.8903717578961645</v>
      </c>
      <c r="S106" s="5">
        <f t="shared" si="12"/>
        <v>0.20481927710843373</v>
      </c>
      <c r="T106" s="3">
        <f t="shared" si="13"/>
        <v>0</v>
      </c>
      <c r="U106" s="3" t="s">
        <v>96</v>
      </c>
      <c r="V106" s="3">
        <v>3</v>
      </c>
      <c r="W106" s="6">
        <v>6.6</v>
      </c>
      <c r="X106" s="4">
        <v>8</v>
      </c>
      <c r="Y106" s="5">
        <v>0.3</v>
      </c>
      <c r="Z106" s="5">
        <v>1.5</v>
      </c>
      <c r="AA106" s="3" t="s">
        <v>80</v>
      </c>
      <c r="AB106" s="3">
        <v>0</v>
      </c>
      <c r="AC106" s="3" t="s">
        <v>81</v>
      </c>
      <c r="AD106" s="3">
        <v>0</v>
      </c>
      <c r="AE106" s="3" t="s">
        <v>98</v>
      </c>
      <c r="AF106" s="3">
        <v>0</v>
      </c>
      <c r="AG106" s="3" t="s">
        <v>82</v>
      </c>
      <c r="AH106" s="3">
        <v>1</v>
      </c>
      <c r="AI106" s="3">
        <v>2</v>
      </c>
      <c r="AJ106" s="3">
        <v>1</v>
      </c>
      <c r="AK106" s="3">
        <v>0</v>
      </c>
      <c r="AL106" s="3">
        <v>0</v>
      </c>
      <c r="AM106" s="3">
        <v>1</v>
      </c>
      <c r="AN106" s="3">
        <v>0</v>
      </c>
      <c r="AO106" s="3">
        <v>0</v>
      </c>
      <c r="AP106" s="3">
        <v>0</v>
      </c>
      <c r="AQ106" s="3">
        <v>0</v>
      </c>
      <c r="AR106" s="3">
        <v>1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1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7" t="s">
        <v>390</v>
      </c>
      <c r="BX106" s="7" t="s">
        <v>391</v>
      </c>
    </row>
    <row r="107" spans="1:76">
      <c r="A107" s="3" t="s">
        <v>392</v>
      </c>
      <c r="B107" s="3">
        <v>4843</v>
      </c>
      <c r="C107" s="3" t="s">
        <v>393</v>
      </c>
      <c r="D107" s="3">
        <v>1</v>
      </c>
      <c r="E107" s="4">
        <v>78</v>
      </c>
      <c r="F107" s="3" t="s">
        <v>87</v>
      </c>
      <c r="G107" s="3">
        <v>1</v>
      </c>
      <c r="H107" s="3">
        <v>0</v>
      </c>
      <c r="I107" s="4">
        <v>0</v>
      </c>
      <c r="J107" s="4">
        <v>3</v>
      </c>
      <c r="K107" s="4">
        <v>3</v>
      </c>
      <c r="L107" s="5">
        <f>IF(F107="F",65.79,IF(F107="M",79.94,""))</f>
        <v>65.790000000000006</v>
      </c>
      <c r="M107" s="3">
        <f t="shared" si="7"/>
        <v>0</v>
      </c>
      <c r="N107" s="3" t="str">
        <f t="shared" si="8"/>
        <v>VSC-non-halitosis</v>
      </c>
      <c r="O107" s="3" t="str">
        <f t="shared" si="9"/>
        <v>Clinical+ / VSC-</v>
      </c>
      <c r="P107" s="5">
        <f t="shared" si="10"/>
        <v>1.0986122886681098</v>
      </c>
      <c r="Q107" s="5">
        <f t="shared" si="11"/>
        <v>0</v>
      </c>
      <c r="R107" s="5">
        <f t="shared" si="11"/>
        <v>1.3862943611198906</v>
      </c>
      <c r="S107" s="5">
        <f t="shared" si="12"/>
        <v>1</v>
      </c>
      <c r="T107" s="3">
        <f t="shared" si="13"/>
        <v>1</v>
      </c>
      <c r="U107" s="3" t="s">
        <v>102</v>
      </c>
      <c r="V107" s="3">
        <v>1</v>
      </c>
      <c r="W107" s="6"/>
      <c r="X107" s="4">
        <v>12</v>
      </c>
      <c r="Y107" s="5">
        <v>0.125</v>
      </c>
      <c r="Z107" s="5">
        <v>1.5</v>
      </c>
      <c r="AA107" s="3" t="s">
        <v>108</v>
      </c>
      <c r="AB107" s="3">
        <v>1</v>
      </c>
      <c r="AC107" s="3" t="s">
        <v>81</v>
      </c>
      <c r="AD107" s="3">
        <v>0</v>
      </c>
      <c r="AE107" s="3" t="s">
        <v>82</v>
      </c>
      <c r="AF107" s="3">
        <v>1</v>
      </c>
      <c r="AG107" s="3" t="s">
        <v>82</v>
      </c>
      <c r="AH107" s="3">
        <v>1</v>
      </c>
      <c r="AI107" s="3">
        <v>2</v>
      </c>
      <c r="AJ107" s="3">
        <v>0</v>
      </c>
      <c r="AK107" s="3">
        <v>0</v>
      </c>
      <c r="AL107" s="3">
        <v>1</v>
      </c>
      <c r="AM107" s="3">
        <v>1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7" t="s">
        <v>134</v>
      </c>
      <c r="BX107" s="7" t="s">
        <v>394</v>
      </c>
    </row>
    <row r="108" spans="1:76" ht="68">
      <c r="A108" s="3" t="s">
        <v>395</v>
      </c>
      <c r="B108" s="3">
        <v>6900</v>
      </c>
      <c r="C108" s="3" t="s">
        <v>396</v>
      </c>
      <c r="D108" s="3">
        <v>1</v>
      </c>
      <c r="E108" s="4">
        <v>56</v>
      </c>
      <c r="F108" s="3" t="s">
        <v>87</v>
      </c>
      <c r="G108" s="3">
        <v>0</v>
      </c>
      <c r="H108" s="3">
        <v>0</v>
      </c>
      <c r="I108" s="4">
        <v>1</v>
      </c>
      <c r="J108" s="4">
        <v>3</v>
      </c>
      <c r="K108" s="4">
        <v>4</v>
      </c>
      <c r="L108" s="5">
        <f>IF(F108="F",65.79,IF(F108="M",79.94,""))</f>
        <v>65.790000000000006</v>
      </c>
      <c r="M108" s="3">
        <f t="shared" si="7"/>
        <v>0</v>
      </c>
      <c r="N108" s="3" t="str">
        <f t="shared" si="8"/>
        <v>VSC-non-halitosis</v>
      </c>
      <c r="O108" s="3" t="str">
        <f t="shared" si="9"/>
        <v>Clinical- / VSC-</v>
      </c>
      <c r="P108" s="5">
        <f t="shared" si="10"/>
        <v>1.3862943611198906</v>
      </c>
      <c r="Q108" s="5">
        <f t="shared" si="11"/>
        <v>0.69314718055994529</v>
      </c>
      <c r="R108" s="5">
        <f t="shared" si="11"/>
        <v>1.3862943611198906</v>
      </c>
      <c r="S108" s="5">
        <f t="shared" si="12"/>
        <v>0.75</v>
      </c>
      <c r="T108" s="3">
        <f t="shared" si="13"/>
        <v>1</v>
      </c>
      <c r="U108" s="3" t="s">
        <v>79</v>
      </c>
      <c r="V108" s="3">
        <v>2</v>
      </c>
      <c r="W108" s="6">
        <v>5.8</v>
      </c>
      <c r="X108" s="4">
        <v>12</v>
      </c>
      <c r="Y108" s="5">
        <v>0.2</v>
      </c>
      <c r="Z108" s="5">
        <v>0.8</v>
      </c>
      <c r="AA108" s="3" t="s">
        <v>80</v>
      </c>
      <c r="AB108" s="3">
        <v>0</v>
      </c>
      <c r="AC108" s="3" t="s">
        <v>81</v>
      </c>
      <c r="AD108" s="3">
        <v>0</v>
      </c>
      <c r="AE108" s="3" t="s">
        <v>82</v>
      </c>
      <c r="AF108" s="3">
        <v>1</v>
      </c>
      <c r="AG108" s="3" t="s">
        <v>82</v>
      </c>
      <c r="AH108" s="3">
        <v>1</v>
      </c>
      <c r="AI108" s="3">
        <v>2</v>
      </c>
      <c r="AJ108" s="3">
        <v>2</v>
      </c>
      <c r="AK108" s="3">
        <v>0</v>
      </c>
      <c r="AL108" s="3">
        <v>0</v>
      </c>
      <c r="AM108" s="3">
        <v>0</v>
      </c>
      <c r="AN108" s="3">
        <v>1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1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1</v>
      </c>
      <c r="BG108" s="3">
        <v>0</v>
      </c>
      <c r="BH108" s="3">
        <v>0</v>
      </c>
      <c r="BI108" s="3">
        <v>1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7" t="s">
        <v>397</v>
      </c>
      <c r="BX108" s="7" t="s">
        <v>398</v>
      </c>
    </row>
    <row r="109" spans="1:76" ht="34">
      <c r="A109" s="3" t="s">
        <v>399</v>
      </c>
      <c r="B109" s="3">
        <v>4491</v>
      </c>
      <c r="C109" s="3" t="s">
        <v>400</v>
      </c>
      <c r="D109" s="3">
        <v>1</v>
      </c>
      <c r="E109" s="4">
        <v>66</v>
      </c>
      <c r="F109" s="3" t="s">
        <v>87</v>
      </c>
      <c r="G109" s="3">
        <v>0</v>
      </c>
      <c r="H109" s="3">
        <v>0</v>
      </c>
      <c r="I109" s="4">
        <v>233</v>
      </c>
      <c r="J109" s="4">
        <v>0</v>
      </c>
      <c r="K109" s="4">
        <v>233</v>
      </c>
      <c r="L109" s="5">
        <f>IF(F109="F",65.79,IF(F109="M",79.94,""))</f>
        <v>65.790000000000006</v>
      </c>
      <c r="M109" s="3">
        <f t="shared" si="7"/>
        <v>1</v>
      </c>
      <c r="N109" s="3" t="str">
        <f t="shared" si="8"/>
        <v>VSC-halitosis</v>
      </c>
      <c r="O109" s="3" t="str">
        <f t="shared" si="9"/>
        <v>Clinical- / VSC+</v>
      </c>
      <c r="P109" s="5">
        <f t="shared" si="10"/>
        <v>5.4510384535657002</v>
      </c>
      <c r="Q109" s="5">
        <f t="shared" si="11"/>
        <v>5.4553211153577017</v>
      </c>
      <c r="R109" s="5">
        <f t="shared" si="11"/>
        <v>0</v>
      </c>
      <c r="S109" s="5">
        <f t="shared" si="12"/>
        <v>0</v>
      </c>
      <c r="T109" s="3">
        <f t="shared" si="13"/>
        <v>0</v>
      </c>
      <c r="U109" s="3" t="s">
        <v>96</v>
      </c>
      <c r="V109" s="3">
        <v>3</v>
      </c>
      <c r="W109" s="6">
        <v>6.2</v>
      </c>
      <c r="X109" s="4">
        <v>12</v>
      </c>
      <c r="Y109" s="5">
        <v>0.15</v>
      </c>
      <c r="Z109" s="5">
        <v>2.5</v>
      </c>
      <c r="AA109" s="3" t="s">
        <v>88</v>
      </c>
      <c r="AB109" s="3">
        <v>0</v>
      </c>
      <c r="AC109" s="3" t="s">
        <v>81</v>
      </c>
      <c r="AD109" s="3">
        <v>0</v>
      </c>
      <c r="AE109" s="3" t="s">
        <v>82</v>
      </c>
      <c r="AF109" s="3">
        <v>1</v>
      </c>
      <c r="AG109" s="3" t="s">
        <v>98</v>
      </c>
      <c r="AH109" s="3">
        <v>0</v>
      </c>
      <c r="AI109" s="3">
        <v>2</v>
      </c>
      <c r="AJ109" s="3">
        <v>2</v>
      </c>
      <c r="AK109" s="3">
        <v>1</v>
      </c>
      <c r="AL109" s="3">
        <v>0</v>
      </c>
      <c r="AM109" s="3">
        <v>0</v>
      </c>
      <c r="AN109" s="3">
        <v>1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1</v>
      </c>
      <c r="BF109" s="3">
        <v>1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1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7" t="s">
        <v>397</v>
      </c>
      <c r="BX109" s="7" t="s">
        <v>401</v>
      </c>
    </row>
    <row r="110" spans="1:76">
      <c r="A110" s="3" t="s">
        <v>402</v>
      </c>
      <c r="B110" s="3">
        <v>5905</v>
      </c>
      <c r="C110" s="3" t="s">
        <v>403</v>
      </c>
      <c r="D110" s="3">
        <v>1</v>
      </c>
      <c r="E110" s="4">
        <v>77</v>
      </c>
      <c r="F110" s="3" t="s">
        <v>78</v>
      </c>
      <c r="G110" s="3">
        <v>0</v>
      </c>
      <c r="H110" s="3">
        <v>1</v>
      </c>
      <c r="I110" s="4">
        <v>2</v>
      </c>
      <c r="J110" s="4">
        <v>29</v>
      </c>
      <c r="K110" s="4">
        <v>31</v>
      </c>
      <c r="L110" s="5">
        <f>IF(F110="F",65.79,IF(F110="M",79.94,""))</f>
        <v>79.94</v>
      </c>
      <c r="M110" s="3">
        <f t="shared" si="7"/>
        <v>0</v>
      </c>
      <c r="N110" s="3" t="str">
        <f t="shared" si="8"/>
        <v>VSC-non-halitosis</v>
      </c>
      <c r="O110" s="3" t="str">
        <f t="shared" si="9"/>
        <v>Clinical- / VSC-</v>
      </c>
      <c r="P110" s="5">
        <f t="shared" si="10"/>
        <v>3.4339872044851463</v>
      </c>
      <c r="Q110" s="5">
        <f t="shared" si="11"/>
        <v>1.0986122886681098</v>
      </c>
      <c r="R110" s="5">
        <f t="shared" si="11"/>
        <v>3.4011973816621555</v>
      </c>
      <c r="S110" s="5">
        <f t="shared" si="12"/>
        <v>0.93548387096774188</v>
      </c>
      <c r="T110" s="3">
        <f t="shared" si="13"/>
        <v>1</v>
      </c>
      <c r="U110" s="3" t="s">
        <v>96</v>
      </c>
      <c r="V110" s="3">
        <v>3</v>
      </c>
      <c r="W110" s="6">
        <v>6.6</v>
      </c>
      <c r="X110" s="4">
        <v>10</v>
      </c>
      <c r="Y110" s="5">
        <v>0.2</v>
      </c>
      <c r="Z110" s="5">
        <v>1</v>
      </c>
      <c r="AA110" s="3" t="s">
        <v>404</v>
      </c>
      <c r="AB110" s="3">
        <v>1</v>
      </c>
      <c r="AC110" s="3" t="s">
        <v>81</v>
      </c>
      <c r="AD110" s="3">
        <v>0</v>
      </c>
      <c r="AE110" s="3" t="s">
        <v>82</v>
      </c>
      <c r="AF110" s="3">
        <v>1</v>
      </c>
      <c r="AG110" s="3" t="s">
        <v>82</v>
      </c>
      <c r="AH110" s="3">
        <v>1</v>
      </c>
      <c r="AI110" s="3">
        <v>2</v>
      </c>
      <c r="AJ110" s="3">
        <v>0</v>
      </c>
      <c r="AK110" s="3">
        <v>0</v>
      </c>
      <c r="AL110" s="3">
        <v>1</v>
      </c>
      <c r="AM110" s="3">
        <v>1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7" t="s">
        <v>134</v>
      </c>
      <c r="BX110" s="7"/>
    </row>
    <row r="111" spans="1:76">
      <c r="A111" s="3" t="s">
        <v>405</v>
      </c>
      <c r="B111" s="3">
        <v>5926</v>
      </c>
      <c r="C111" s="3" t="s">
        <v>406</v>
      </c>
      <c r="D111" s="3">
        <v>1</v>
      </c>
      <c r="E111" s="4">
        <v>78</v>
      </c>
      <c r="F111" s="3" t="s">
        <v>78</v>
      </c>
      <c r="G111" s="3">
        <v>0</v>
      </c>
      <c r="H111" s="3">
        <v>0</v>
      </c>
      <c r="I111" s="4">
        <v>1</v>
      </c>
      <c r="J111" s="4">
        <v>0</v>
      </c>
      <c r="K111" s="4">
        <v>1</v>
      </c>
      <c r="L111" s="5">
        <f>IF(F111="F",65.79,IF(F111="M",79.94,""))</f>
        <v>79.94</v>
      </c>
      <c r="M111" s="3">
        <f t="shared" si="7"/>
        <v>0</v>
      </c>
      <c r="N111" s="3" t="str">
        <f t="shared" si="8"/>
        <v>VSC-non-halitosis</v>
      </c>
      <c r="O111" s="3" t="str">
        <f t="shared" si="9"/>
        <v>Clinical- / VSC-</v>
      </c>
      <c r="P111" s="5">
        <f t="shared" si="10"/>
        <v>0</v>
      </c>
      <c r="Q111" s="5">
        <f t="shared" si="11"/>
        <v>0.69314718055994529</v>
      </c>
      <c r="R111" s="5">
        <f t="shared" si="11"/>
        <v>0</v>
      </c>
      <c r="S111" s="5">
        <f t="shared" si="12"/>
        <v>0</v>
      </c>
      <c r="T111" s="3">
        <f t="shared" si="13"/>
        <v>0</v>
      </c>
      <c r="U111" s="3" t="s">
        <v>102</v>
      </c>
      <c r="V111" s="3">
        <v>1</v>
      </c>
      <c r="W111" s="6">
        <v>6</v>
      </c>
      <c r="X111" s="4">
        <v>9</v>
      </c>
      <c r="Y111" s="5">
        <v>0.2</v>
      </c>
      <c r="Z111" s="5">
        <v>1.5</v>
      </c>
      <c r="AA111" s="3" t="s">
        <v>404</v>
      </c>
      <c r="AB111" s="3">
        <v>1</v>
      </c>
      <c r="AC111" s="3" t="s">
        <v>138</v>
      </c>
      <c r="AD111" s="3">
        <v>1</v>
      </c>
      <c r="AE111" s="3" t="s">
        <v>103</v>
      </c>
      <c r="AF111" s="3">
        <v>1</v>
      </c>
      <c r="AG111" s="3" t="s">
        <v>82</v>
      </c>
      <c r="AH111" s="3">
        <v>1</v>
      </c>
      <c r="AI111" s="3">
        <v>3</v>
      </c>
      <c r="AJ111" s="3">
        <v>2</v>
      </c>
      <c r="AK111" s="3">
        <v>0</v>
      </c>
      <c r="AL111" s="3">
        <v>1</v>
      </c>
      <c r="AM111" s="3">
        <v>0</v>
      </c>
      <c r="AN111" s="3">
        <v>1</v>
      </c>
      <c r="AO111" s="3">
        <v>0</v>
      </c>
      <c r="AP111" s="3">
        <v>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1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1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7" t="s">
        <v>407</v>
      </c>
      <c r="BX111" s="7" t="s">
        <v>408</v>
      </c>
    </row>
    <row r="112" spans="1:76" ht="51">
      <c r="A112" s="3" t="s">
        <v>409</v>
      </c>
      <c r="B112" s="3">
        <v>4163</v>
      </c>
      <c r="C112" s="3" t="s">
        <v>410</v>
      </c>
      <c r="D112" s="3">
        <v>4</v>
      </c>
      <c r="E112" s="4">
        <v>56</v>
      </c>
      <c r="F112" s="3" t="s">
        <v>87</v>
      </c>
      <c r="G112" s="3">
        <v>1</v>
      </c>
      <c r="H112" s="3">
        <v>0</v>
      </c>
      <c r="I112" s="4">
        <v>11</v>
      </c>
      <c r="J112" s="4">
        <v>0</v>
      </c>
      <c r="K112" s="4">
        <v>11</v>
      </c>
      <c r="L112" s="5">
        <f>IF(F112="F",65.79,IF(F112="M",79.94,""))</f>
        <v>65.790000000000006</v>
      </c>
      <c r="M112" s="3">
        <f t="shared" si="7"/>
        <v>0</v>
      </c>
      <c r="N112" s="3" t="str">
        <f t="shared" si="8"/>
        <v>VSC-non-halitosis</v>
      </c>
      <c r="O112" s="3" t="str">
        <f t="shared" si="9"/>
        <v>Clinical+ / VSC-</v>
      </c>
      <c r="P112" s="5">
        <f t="shared" si="10"/>
        <v>2.3978952727983707</v>
      </c>
      <c r="Q112" s="5">
        <f t="shared" si="11"/>
        <v>2.4849066497880004</v>
      </c>
      <c r="R112" s="5">
        <f t="shared" si="11"/>
        <v>0</v>
      </c>
      <c r="S112" s="5">
        <f t="shared" si="12"/>
        <v>0</v>
      </c>
      <c r="T112" s="3">
        <f t="shared" si="13"/>
        <v>0</v>
      </c>
      <c r="U112" s="3" t="s">
        <v>79</v>
      </c>
      <c r="V112" s="3">
        <v>2</v>
      </c>
      <c r="W112" s="6">
        <v>6.4</v>
      </c>
      <c r="X112" s="4">
        <v>9</v>
      </c>
      <c r="Y112" s="5">
        <v>0.3</v>
      </c>
      <c r="Z112" s="5">
        <v>2.4</v>
      </c>
      <c r="AA112" s="3" t="s">
        <v>208</v>
      </c>
      <c r="AB112" s="3">
        <v>1</v>
      </c>
      <c r="AC112" s="3" t="s">
        <v>81</v>
      </c>
      <c r="AD112" s="3">
        <v>0</v>
      </c>
      <c r="AE112" s="3" t="s">
        <v>98</v>
      </c>
      <c r="AF112" s="3">
        <v>0</v>
      </c>
      <c r="AG112" s="3" t="s">
        <v>98</v>
      </c>
      <c r="AH112" s="3">
        <v>0</v>
      </c>
      <c r="AI112" s="3">
        <v>4</v>
      </c>
      <c r="AJ112" s="3">
        <v>1</v>
      </c>
      <c r="AK112" s="3">
        <v>0</v>
      </c>
      <c r="AL112" s="3">
        <v>0</v>
      </c>
      <c r="AM112" s="3">
        <v>0</v>
      </c>
      <c r="AN112" s="3">
        <v>0</v>
      </c>
      <c r="AO112" s="3">
        <v>1</v>
      </c>
      <c r="AP112" s="3">
        <v>0</v>
      </c>
      <c r="AQ112" s="3">
        <v>1</v>
      </c>
      <c r="AR112" s="3">
        <v>0</v>
      </c>
      <c r="AS112" s="3">
        <v>0</v>
      </c>
      <c r="AT112" s="3">
        <v>0</v>
      </c>
      <c r="AU112" s="3">
        <v>1</v>
      </c>
      <c r="AV112" s="3">
        <v>0</v>
      </c>
      <c r="AW112" s="3">
        <v>0</v>
      </c>
      <c r="AX112" s="3">
        <v>1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1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7" t="s">
        <v>411</v>
      </c>
      <c r="BX112" s="7" t="s">
        <v>412</v>
      </c>
    </row>
    <row r="113" spans="1:76">
      <c r="A113" s="3" t="s">
        <v>413</v>
      </c>
      <c r="B113" s="3">
        <v>5072</v>
      </c>
      <c r="C113" s="3" t="s">
        <v>410</v>
      </c>
      <c r="D113" s="3">
        <v>4</v>
      </c>
      <c r="E113" s="4">
        <v>56</v>
      </c>
      <c r="F113" s="3" t="s">
        <v>87</v>
      </c>
      <c r="G113" s="3">
        <v>0</v>
      </c>
      <c r="H113" s="3">
        <v>0</v>
      </c>
      <c r="I113" s="4">
        <v>11</v>
      </c>
      <c r="J113" s="4">
        <v>0</v>
      </c>
      <c r="K113" s="4">
        <v>11</v>
      </c>
      <c r="L113" s="5">
        <f>IF(F113="F",65.79,IF(F113="M",79.94,""))</f>
        <v>65.790000000000006</v>
      </c>
      <c r="M113" s="3">
        <f t="shared" si="7"/>
        <v>0</v>
      </c>
      <c r="N113" s="3" t="str">
        <f t="shared" si="8"/>
        <v>VSC-non-halitosis</v>
      </c>
      <c r="O113" s="3" t="str">
        <f t="shared" si="9"/>
        <v>Clinical- / VSC-</v>
      </c>
      <c r="P113" s="5">
        <f t="shared" si="10"/>
        <v>2.3978952727983707</v>
      </c>
      <c r="Q113" s="5">
        <f t="shared" si="11"/>
        <v>2.4849066497880004</v>
      </c>
      <c r="R113" s="5">
        <f t="shared" si="11"/>
        <v>0</v>
      </c>
      <c r="S113" s="5">
        <f t="shared" si="12"/>
        <v>0</v>
      </c>
      <c r="T113" s="3">
        <f t="shared" si="13"/>
        <v>0</v>
      </c>
      <c r="U113" s="3" t="s">
        <v>79</v>
      </c>
      <c r="V113" s="3">
        <v>2</v>
      </c>
      <c r="W113" s="6">
        <v>6.4</v>
      </c>
      <c r="X113" s="4">
        <v>9</v>
      </c>
      <c r="Y113" s="5">
        <v>0.3</v>
      </c>
      <c r="Z113" s="5">
        <v>2.4</v>
      </c>
      <c r="AA113" s="3" t="s">
        <v>88</v>
      </c>
      <c r="AB113" s="3">
        <v>0</v>
      </c>
      <c r="AC113" s="3" t="s">
        <v>81</v>
      </c>
      <c r="AD113" s="3">
        <v>0</v>
      </c>
      <c r="AE113" s="3" t="s">
        <v>82</v>
      </c>
      <c r="AF113" s="3">
        <v>1</v>
      </c>
      <c r="AG113" s="3" t="s">
        <v>82</v>
      </c>
      <c r="AH113" s="3">
        <v>1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7"/>
      <c r="BX113" s="7"/>
    </row>
    <row r="114" spans="1:76">
      <c r="A114" s="3" t="s">
        <v>414</v>
      </c>
      <c r="B114" s="3">
        <v>5743</v>
      </c>
      <c r="C114" s="3" t="s">
        <v>410</v>
      </c>
      <c r="D114" s="3">
        <v>4</v>
      </c>
      <c r="E114" s="4">
        <v>56</v>
      </c>
      <c r="F114" s="3" t="s">
        <v>87</v>
      </c>
      <c r="G114" s="3">
        <v>0</v>
      </c>
      <c r="H114" s="3">
        <v>0</v>
      </c>
      <c r="I114" s="4">
        <v>11</v>
      </c>
      <c r="J114" s="4">
        <v>0</v>
      </c>
      <c r="K114" s="4">
        <v>11</v>
      </c>
      <c r="L114" s="5">
        <f>IF(F114="F",65.79,IF(F114="M",79.94,""))</f>
        <v>65.790000000000006</v>
      </c>
      <c r="M114" s="3">
        <f t="shared" si="7"/>
        <v>0</v>
      </c>
      <c r="N114" s="3" t="str">
        <f t="shared" si="8"/>
        <v>VSC-non-halitosis</v>
      </c>
      <c r="O114" s="3" t="str">
        <f t="shared" si="9"/>
        <v>Clinical- / VSC-</v>
      </c>
      <c r="P114" s="5">
        <f t="shared" si="10"/>
        <v>2.3978952727983707</v>
      </c>
      <c r="Q114" s="5">
        <f t="shared" si="11"/>
        <v>2.4849066497880004</v>
      </c>
      <c r="R114" s="5">
        <f t="shared" si="11"/>
        <v>0</v>
      </c>
      <c r="S114" s="5">
        <f t="shared" si="12"/>
        <v>0</v>
      </c>
      <c r="T114" s="3">
        <f t="shared" si="13"/>
        <v>0</v>
      </c>
      <c r="U114" s="3" t="s">
        <v>79</v>
      </c>
      <c r="V114" s="3">
        <v>2</v>
      </c>
      <c r="W114" s="6">
        <v>6.4</v>
      </c>
      <c r="X114" s="4">
        <v>9</v>
      </c>
      <c r="Y114" s="5">
        <v>0.3</v>
      </c>
      <c r="Z114" s="5">
        <v>2.4</v>
      </c>
      <c r="AA114" s="3" t="s">
        <v>80</v>
      </c>
      <c r="AB114" s="3">
        <v>0</v>
      </c>
      <c r="AC114" s="3" t="s">
        <v>81</v>
      </c>
      <c r="AD114" s="3">
        <v>0</v>
      </c>
      <c r="AE114" s="3" t="s">
        <v>82</v>
      </c>
      <c r="AF114" s="3">
        <v>1</v>
      </c>
      <c r="AG114" s="3" t="s">
        <v>82</v>
      </c>
      <c r="AH114" s="3">
        <v>1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1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7"/>
      <c r="BX114" s="7" t="s">
        <v>415</v>
      </c>
    </row>
    <row r="115" spans="1:76">
      <c r="A115" s="3" t="s">
        <v>416</v>
      </c>
      <c r="B115" s="3">
        <v>6554</v>
      </c>
      <c r="C115" s="3" t="s">
        <v>410</v>
      </c>
      <c r="D115" s="3">
        <v>4</v>
      </c>
      <c r="E115" s="4">
        <v>56</v>
      </c>
      <c r="F115" s="3" t="s">
        <v>87</v>
      </c>
      <c r="G115" s="3">
        <v>0</v>
      </c>
      <c r="H115" s="3">
        <v>0</v>
      </c>
      <c r="I115" s="4">
        <v>11</v>
      </c>
      <c r="J115" s="4">
        <v>0</v>
      </c>
      <c r="K115" s="4">
        <v>11</v>
      </c>
      <c r="L115" s="5">
        <f>IF(F115="F",65.79,IF(F115="M",79.94,""))</f>
        <v>65.790000000000006</v>
      </c>
      <c r="M115" s="3">
        <f t="shared" si="7"/>
        <v>0</v>
      </c>
      <c r="N115" s="3" t="str">
        <f t="shared" si="8"/>
        <v>VSC-non-halitosis</v>
      </c>
      <c r="O115" s="3" t="str">
        <f t="shared" si="9"/>
        <v>Clinical- / VSC-</v>
      </c>
      <c r="P115" s="5">
        <f t="shared" si="10"/>
        <v>2.3978952727983707</v>
      </c>
      <c r="Q115" s="5">
        <f t="shared" si="11"/>
        <v>2.4849066497880004</v>
      </c>
      <c r="R115" s="5">
        <f t="shared" si="11"/>
        <v>0</v>
      </c>
      <c r="S115" s="5">
        <f t="shared" si="12"/>
        <v>0</v>
      </c>
      <c r="T115" s="3">
        <f t="shared" si="13"/>
        <v>0</v>
      </c>
      <c r="U115" s="3" t="s">
        <v>79</v>
      </c>
      <c r="V115" s="3">
        <v>2</v>
      </c>
      <c r="W115" s="6">
        <v>6.4</v>
      </c>
      <c r="X115" s="4">
        <v>9</v>
      </c>
      <c r="Y115" s="5">
        <v>0.3</v>
      </c>
      <c r="Z115" s="5">
        <v>2.4</v>
      </c>
      <c r="AA115" s="3" t="s">
        <v>80</v>
      </c>
      <c r="AB115" s="3">
        <v>0</v>
      </c>
      <c r="AC115" s="3" t="s">
        <v>80</v>
      </c>
      <c r="AD115" s="3">
        <v>0</v>
      </c>
      <c r="AE115" s="3" t="s">
        <v>80</v>
      </c>
      <c r="AF115" s="3">
        <v>0</v>
      </c>
      <c r="AG115" s="3" t="s">
        <v>98</v>
      </c>
      <c r="AH115" s="3">
        <v>0</v>
      </c>
      <c r="AI115" s="3">
        <v>1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1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7" t="s">
        <v>80</v>
      </c>
      <c r="BX115" s="7" t="s">
        <v>417</v>
      </c>
    </row>
    <row r="116" spans="1:76">
      <c r="A116" s="3" t="s">
        <v>418</v>
      </c>
      <c r="B116" s="3">
        <v>6746</v>
      </c>
      <c r="C116" s="3" t="s">
        <v>419</v>
      </c>
      <c r="D116" s="3">
        <v>1</v>
      </c>
      <c r="E116" s="4">
        <v>61</v>
      </c>
      <c r="F116" s="3" t="s">
        <v>87</v>
      </c>
      <c r="G116" s="3">
        <v>0</v>
      </c>
      <c r="H116" s="3">
        <v>0</v>
      </c>
      <c r="I116" s="4">
        <v>4</v>
      </c>
      <c r="J116" s="4">
        <v>1</v>
      </c>
      <c r="K116" s="4">
        <v>5</v>
      </c>
      <c r="L116" s="5">
        <f>IF(F116="F",65.79,IF(F116="M",79.94,""))</f>
        <v>65.790000000000006</v>
      </c>
      <c r="M116" s="3">
        <f t="shared" si="7"/>
        <v>0</v>
      </c>
      <c r="N116" s="3" t="str">
        <f t="shared" si="8"/>
        <v>VSC-non-halitosis</v>
      </c>
      <c r="O116" s="3" t="str">
        <f t="shared" si="9"/>
        <v>Clinical- / VSC-</v>
      </c>
      <c r="P116" s="5">
        <f t="shared" si="10"/>
        <v>1.6094379124341003</v>
      </c>
      <c r="Q116" s="5">
        <f t="shared" si="11"/>
        <v>1.6094379124341003</v>
      </c>
      <c r="R116" s="5">
        <f t="shared" si="11"/>
        <v>0.69314718055994529</v>
      </c>
      <c r="S116" s="5">
        <f t="shared" si="12"/>
        <v>0.2</v>
      </c>
      <c r="T116" s="3">
        <f t="shared" si="13"/>
        <v>0</v>
      </c>
      <c r="U116" s="3" t="s">
        <v>79</v>
      </c>
      <c r="V116" s="3">
        <v>2</v>
      </c>
      <c r="W116" s="6">
        <v>6.8</v>
      </c>
      <c r="X116" s="4">
        <v>9</v>
      </c>
      <c r="Y116" s="5">
        <v>0.5</v>
      </c>
      <c r="Z116" s="5">
        <v>2</v>
      </c>
      <c r="AA116" s="3" t="s">
        <v>80</v>
      </c>
      <c r="AB116" s="3">
        <v>0</v>
      </c>
      <c r="AC116" s="3" t="s">
        <v>81</v>
      </c>
      <c r="AD116" s="3">
        <v>0</v>
      </c>
      <c r="AE116" s="3" t="s">
        <v>98</v>
      </c>
      <c r="AF116" s="3">
        <v>0</v>
      </c>
      <c r="AG116" s="3" t="s">
        <v>82</v>
      </c>
      <c r="AH116" s="3">
        <v>1</v>
      </c>
      <c r="AI116" s="3">
        <v>2</v>
      </c>
      <c r="AJ116" s="3">
        <v>2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1</v>
      </c>
      <c r="AQ116" s="3">
        <v>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1</v>
      </c>
      <c r="BI116" s="3">
        <v>0</v>
      </c>
      <c r="BJ116" s="3">
        <v>0</v>
      </c>
      <c r="BK116" s="3">
        <v>0</v>
      </c>
      <c r="BL116" s="3">
        <v>1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7" t="s">
        <v>420</v>
      </c>
      <c r="BX116" s="7" t="s">
        <v>421</v>
      </c>
    </row>
    <row r="117" spans="1:76" ht="51">
      <c r="A117" s="3" t="s">
        <v>422</v>
      </c>
      <c r="B117" s="3">
        <v>2847</v>
      </c>
      <c r="C117" s="3" t="s">
        <v>423</v>
      </c>
      <c r="D117" s="3">
        <v>2</v>
      </c>
      <c r="E117" s="4">
        <v>77</v>
      </c>
      <c r="F117" s="3" t="s">
        <v>78</v>
      </c>
      <c r="G117" s="3">
        <v>0</v>
      </c>
      <c r="H117" s="3">
        <v>0</v>
      </c>
      <c r="I117" s="4">
        <v>5</v>
      </c>
      <c r="J117" s="4">
        <v>4</v>
      </c>
      <c r="K117" s="4">
        <v>9</v>
      </c>
      <c r="L117" s="5">
        <f>IF(F117="F",65.79,IF(F117="M",79.94,""))</f>
        <v>79.94</v>
      </c>
      <c r="M117" s="3">
        <f t="shared" si="7"/>
        <v>0</v>
      </c>
      <c r="N117" s="3" t="str">
        <f t="shared" si="8"/>
        <v>VSC-non-halitosis</v>
      </c>
      <c r="O117" s="3" t="str">
        <f t="shared" si="9"/>
        <v>Clinical- / VSC-</v>
      </c>
      <c r="P117" s="5">
        <f t="shared" si="10"/>
        <v>2.1972245773362196</v>
      </c>
      <c r="Q117" s="5">
        <f t="shared" si="11"/>
        <v>1.791759469228055</v>
      </c>
      <c r="R117" s="5">
        <f t="shared" si="11"/>
        <v>1.6094379124341003</v>
      </c>
      <c r="S117" s="5">
        <f t="shared" si="12"/>
        <v>0.44444444444444442</v>
      </c>
      <c r="T117" s="3">
        <f t="shared" si="13"/>
        <v>0</v>
      </c>
      <c r="U117" s="3" t="s">
        <v>79</v>
      </c>
      <c r="V117" s="3">
        <v>2</v>
      </c>
      <c r="W117" s="6"/>
      <c r="X117" s="4">
        <v>6</v>
      </c>
      <c r="Y117" s="5">
        <v>0.3</v>
      </c>
      <c r="Z117" s="5">
        <v>2</v>
      </c>
      <c r="AA117" s="3"/>
      <c r="AB117" s="3">
        <v>0</v>
      </c>
      <c r="AC117" s="3"/>
      <c r="AD117" s="3">
        <v>0</v>
      </c>
      <c r="AE117" s="3"/>
      <c r="AF117" s="3">
        <v>0</v>
      </c>
      <c r="AG117" s="3"/>
      <c r="AH117" s="3">
        <v>0</v>
      </c>
      <c r="AI117" s="3">
        <v>5</v>
      </c>
      <c r="AJ117" s="3">
        <v>0</v>
      </c>
      <c r="AK117" s="3">
        <v>0</v>
      </c>
      <c r="AL117" s="3">
        <v>1</v>
      </c>
      <c r="AM117" s="3">
        <v>1</v>
      </c>
      <c r="AN117" s="3">
        <v>0</v>
      </c>
      <c r="AO117" s="3">
        <v>0</v>
      </c>
      <c r="AP117" s="3">
        <v>1</v>
      </c>
      <c r="AQ117" s="3">
        <v>0</v>
      </c>
      <c r="AR117" s="3">
        <v>1</v>
      </c>
      <c r="AS117" s="3">
        <v>1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7" t="s">
        <v>424</v>
      </c>
      <c r="BX117" s="7" t="s">
        <v>425</v>
      </c>
    </row>
    <row r="118" spans="1:76">
      <c r="A118" s="3" t="s">
        <v>426</v>
      </c>
      <c r="B118" s="3">
        <v>4029</v>
      </c>
      <c r="C118" s="3" t="s">
        <v>423</v>
      </c>
      <c r="D118" s="3">
        <v>2</v>
      </c>
      <c r="E118" s="4">
        <v>77</v>
      </c>
      <c r="F118" s="3" t="s">
        <v>78</v>
      </c>
      <c r="G118" s="3">
        <v>0</v>
      </c>
      <c r="H118" s="3">
        <v>0</v>
      </c>
      <c r="I118" s="4">
        <v>5</v>
      </c>
      <c r="J118" s="4">
        <v>4</v>
      </c>
      <c r="K118" s="4">
        <v>9</v>
      </c>
      <c r="L118" s="5">
        <f>IF(F118="F",65.79,IF(F118="M",79.94,""))</f>
        <v>79.94</v>
      </c>
      <c r="M118" s="3">
        <f t="shared" si="7"/>
        <v>0</v>
      </c>
      <c r="N118" s="3" t="str">
        <f t="shared" si="8"/>
        <v>VSC-non-halitosis</v>
      </c>
      <c r="O118" s="3" t="str">
        <f t="shared" si="9"/>
        <v>Clinical- / VSC-</v>
      </c>
      <c r="P118" s="5">
        <f t="shared" si="10"/>
        <v>2.1972245773362196</v>
      </c>
      <c r="Q118" s="5">
        <f t="shared" si="11"/>
        <v>1.791759469228055</v>
      </c>
      <c r="R118" s="5">
        <f t="shared" si="11"/>
        <v>1.6094379124341003</v>
      </c>
      <c r="S118" s="5">
        <f t="shared" si="12"/>
        <v>0.44444444444444442</v>
      </c>
      <c r="T118" s="3">
        <f t="shared" si="13"/>
        <v>0</v>
      </c>
      <c r="U118" s="3" t="s">
        <v>79</v>
      </c>
      <c r="V118" s="3">
        <v>2</v>
      </c>
      <c r="W118" s="6"/>
      <c r="X118" s="4">
        <v>6</v>
      </c>
      <c r="Y118" s="5">
        <v>0.3</v>
      </c>
      <c r="Z118" s="5">
        <v>2</v>
      </c>
      <c r="AA118" s="3" t="s">
        <v>80</v>
      </c>
      <c r="AB118" s="3">
        <v>0</v>
      </c>
      <c r="AC118" s="3" t="s">
        <v>113</v>
      </c>
      <c r="AD118" s="3">
        <v>0</v>
      </c>
      <c r="AE118" s="3"/>
      <c r="AF118" s="3">
        <v>0</v>
      </c>
      <c r="AG118" s="3" t="s">
        <v>427</v>
      </c>
      <c r="AH118" s="3">
        <v>0</v>
      </c>
      <c r="AI118" s="3">
        <v>3</v>
      </c>
      <c r="AJ118" s="3">
        <v>0</v>
      </c>
      <c r="AK118" s="3">
        <v>0</v>
      </c>
      <c r="AL118" s="3">
        <v>1</v>
      </c>
      <c r="AM118" s="3">
        <v>1</v>
      </c>
      <c r="AN118" s="3">
        <v>0</v>
      </c>
      <c r="AO118" s="3">
        <v>0</v>
      </c>
      <c r="AP118" s="3">
        <v>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7" t="s">
        <v>428</v>
      </c>
      <c r="BX118" s="7"/>
    </row>
    <row r="119" spans="1:76">
      <c r="A119" s="3" t="s">
        <v>429</v>
      </c>
      <c r="B119" s="3">
        <v>6844</v>
      </c>
      <c r="C119" s="3" t="s">
        <v>430</v>
      </c>
      <c r="D119" s="3">
        <v>3</v>
      </c>
      <c r="E119" s="4">
        <v>55</v>
      </c>
      <c r="F119" s="3" t="s">
        <v>87</v>
      </c>
      <c r="G119" s="3">
        <v>1</v>
      </c>
      <c r="H119" s="3">
        <v>0</v>
      </c>
      <c r="I119" s="4">
        <v>1</v>
      </c>
      <c r="J119" s="4">
        <v>1</v>
      </c>
      <c r="K119" s="4">
        <v>2</v>
      </c>
      <c r="L119" s="5">
        <f>IF(F119="F",65.79,IF(F119="M",79.94,""))</f>
        <v>65.790000000000006</v>
      </c>
      <c r="M119" s="3">
        <f t="shared" si="7"/>
        <v>0</v>
      </c>
      <c r="N119" s="3" t="str">
        <f t="shared" si="8"/>
        <v>VSC-non-halitosis</v>
      </c>
      <c r="O119" s="3" t="str">
        <f t="shared" si="9"/>
        <v>Clinical+ / VSC-</v>
      </c>
      <c r="P119" s="5">
        <f t="shared" si="10"/>
        <v>0.69314718055994529</v>
      </c>
      <c r="Q119" s="5">
        <f t="shared" si="11"/>
        <v>0.69314718055994529</v>
      </c>
      <c r="R119" s="5">
        <f t="shared" si="11"/>
        <v>0.69314718055994529</v>
      </c>
      <c r="S119" s="5">
        <f t="shared" si="12"/>
        <v>0.5</v>
      </c>
      <c r="T119" s="3">
        <f t="shared" si="13"/>
        <v>0</v>
      </c>
      <c r="U119" s="3" t="s">
        <v>102</v>
      </c>
      <c r="V119" s="3">
        <v>1</v>
      </c>
      <c r="W119" s="6">
        <v>6.6</v>
      </c>
      <c r="X119" s="4">
        <v>9</v>
      </c>
      <c r="Y119" s="5">
        <v>0.35</v>
      </c>
      <c r="Z119" s="5">
        <v>1.6</v>
      </c>
      <c r="AA119" s="3" t="s">
        <v>80</v>
      </c>
      <c r="AB119" s="3">
        <v>0</v>
      </c>
      <c r="AC119" s="3" t="s">
        <v>81</v>
      </c>
      <c r="AD119" s="3">
        <v>0</v>
      </c>
      <c r="AE119" s="3" t="s">
        <v>82</v>
      </c>
      <c r="AF119" s="3">
        <v>1</v>
      </c>
      <c r="AG119" s="3" t="s">
        <v>82</v>
      </c>
      <c r="AH119" s="3">
        <v>1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7" t="s">
        <v>431</v>
      </c>
      <c r="BX119" s="7" t="s">
        <v>80</v>
      </c>
    </row>
    <row r="120" spans="1:76">
      <c r="A120" s="3" t="s">
        <v>432</v>
      </c>
      <c r="B120" s="3">
        <v>6844</v>
      </c>
      <c r="C120" s="3" t="s">
        <v>430</v>
      </c>
      <c r="D120" s="3">
        <v>3</v>
      </c>
      <c r="E120" s="4">
        <v>55</v>
      </c>
      <c r="F120" s="3" t="s">
        <v>87</v>
      </c>
      <c r="G120" s="3">
        <v>1</v>
      </c>
      <c r="H120" s="3">
        <v>0</v>
      </c>
      <c r="I120" s="4">
        <v>23</v>
      </c>
      <c r="J120" s="4">
        <v>0</v>
      </c>
      <c r="K120" s="4">
        <v>23</v>
      </c>
      <c r="L120" s="5">
        <f>IF(F120="F",65.79,IF(F120="M",79.94,""))</f>
        <v>65.790000000000006</v>
      </c>
      <c r="M120" s="3">
        <f t="shared" si="7"/>
        <v>0</v>
      </c>
      <c r="N120" s="3" t="str">
        <f t="shared" si="8"/>
        <v>VSC-non-halitosis</v>
      </c>
      <c r="O120" s="3" t="str">
        <f t="shared" si="9"/>
        <v>Clinical+ / VSC-</v>
      </c>
      <c r="P120" s="5">
        <f t="shared" si="10"/>
        <v>3.1354942159291497</v>
      </c>
      <c r="Q120" s="5">
        <f t="shared" si="11"/>
        <v>3.1780538303479458</v>
      </c>
      <c r="R120" s="5">
        <f t="shared" si="11"/>
        <v>0</v>
      </c>
      <c r="S120" s="5">
        <f t="shared" si="12"/>
        <v>0</v>
      </c>
      <c r="T120" s="3">
        <f t="shared" si="13"/>
        <v>0</v>
      </c>
      <c r="U120" s="3" t="s">
        <v>79</v>
      </c>
      <c r="V120" s="3">
        <v>2</v>
      </c>
      <c r="W120" s="6">
        <v>6.6</v>
      </c>
      <c r="X120" s="4">
        <v>9</v>
      </c>
      <c r="Y120" s="5">
        <v>0.35</v>
      </c>
      <c r="Z120" s="5">
        <v>1.6</v>
      </c>
      <c r="AA120" s="3" t="s">
        <v>80</v>
      </c>
      <c r="AB120" s="3">
        <v>0</v>
      </c>
      <c r="AC120" s="3" t="s">
        <v>81</v>
      </c>
      <c r="AD120" s="3">
        <v>0</v>
      </c>
      <c r="AE120" s="3" t="s">
        <v>82</v>
      </c>
      <c r="AF120" s="3">
        <v>1</v>
      </c>
      <c r="AG120" s="3" t="s">
        <v>82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7" t="s">
        <v>431</v>
      </c>
      <c r="BX120" s="7" t="s">
        <v>80</v>
      </c>
    </row>
    <row r="121" spans="1:76">
      <c r="A121" s="3" t="s">
        <v>433</v>
      </c>
      <c r="B121" s="3">
        <v>6844</v>
      </c>
      <c r="C121" s="3" t="s">
        <v>430</v>
      </c>
      <c r="D121" s="3">
        <v>3</v>
      </c>
      <c r="E121" s="4">
        <v>55</v>
      </c>
      <c r="F121" s="3" t="s">
        <v>87</v>
      </c>
      <c r="G121" s="3">
        <v>1</v>
      </c>
      <c r="H121" s="3">
        <v>0</v>
      </c>
      <c r="I121" s="4">
        <v>23</v>
      </c>
      <c r="J121" s="4">
        <v>0</v>
      </c>
      <c r="K121" s="4">
        <v>23</v>
      </c>
      <c r="L121" s="5">
        <f>IF(F121="F",65.79,IF(F121="M",79.94,""))</f>
        <v>65.790000000000006</v>
      </c>
      <c r="M121" s="3">
        <f t="shared" si="7"/>
        <v>0</v>
      </c>
      <c r="N121" s="3" t="str">
        <f t="shared" si="8"/>
        <v>VSC-non-halitosis</v>
      </c>
      <c r="O121" s="3" t="str">
        <f t="shared" si="9"/>
        <v>Clinical+ / VSC-</v>
      </c>
      <c r="P121" s="5">
        <f t="shared" si="10"/>
        <v>3.1354942159291497</v>
      </c>
      <c r="Q121" s="5">
        <f t="shared" si="11"/>
        <v>3.1780538303479458</v>
      </c>
      <c r="R121" s="5">
        <f t="shared" si="11"/>
        <v>0</v>
      </c>
      <c r="S121" s="5">
        <f t="shared" si="12"/>
        <v>0</v>
      </c>
      <c r="T121" s="3">
        <f t="shared" si="13"/>
        <v>0</v>
      </c>
      <c r="U121" s="3" t="s">
        <v>79</v>
      </c>
      <c r="V121" s="3">
        <v>2</v>
      </c>
      <c r="W121" s="6">
        <v>6.6</v>
      </c>
      <c r="X121" s="4">
        <v>9</v>
      </c>
      <c r="Y121" s="5">
        <v>0.35</v>
      </c>
      <c r="Z121" s="5">
        <v>1.6</v>
      </c>
      <c r="AA121" s="3" t="s">
        <v>80</v>
      </c>
      <c r="AB121" s="3">
        <v>0</v>
      </c>
      <c r="AC121" s="3" t="s">
        <v>81</v>
      </c>
      <c r="AD121" s="3">
        <v>0</v>
      </c>
      <c r="AE121" s="3" t="s">
        <v>82</v>
      </c>
      <c r="AF121" s="3">
        <v>1</v>
      </c>
      <c r="AG121" s="3" t="s">
        <v>82</v>
      </c>
      <c r="AH121" s="3">
        <v>1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7" t="s">
        <v>431</v>
      </c>
      <c r="BX121" s="7" t="s">
        <v>80</v>
      </c>
    </row>
    <row r="122" spans="1:76">
      <c r="A122" s="3" t="s">
        <v>434</v>
      </c>
      <c r="B122" s="3">
        <v>3677</v>
      </c>
      <c r="C122" s="3" t="s">
        <v>435</v>
      </c>
      <c r="D122" s="3">
        <v>2</v>
      </c>
      <c r="E122" s="4">
        <v>75</v>
      </c>
      <c r="F122" s="3" t="s">
        <v>87</v>
      </c>
      <c r="G122" s="3">
        <v>0</v>
      </c>
      <c r="H122" s="3">
        <v>0</v>
      </c>
      <c r="I122" s="4">
        <v>0</v>
      </c>
      <c r="J122" s="4">
        <v>1</v>
      </c>
      <c r="K122" s="4">
        <v>1</v>
      </c>
      <c r="L122" s="5">
        <f>IF(F122="F",65.79,IF(F122="M",79.94,""))</f>
        <v>65.790000000000006</v>
      </c>
      <c r="M122" s="3">
        <f t="shared" si="7"/>
        <v>0</v>
      </c>
      <c r="N122" s="3" t="str">
        <f t="shared" si="8"/>
        <v>VSC-non-halitosis</v>
      </c>
      <c r="O122" s="3" t="str">
        <f t="shared" si="9"/>
        <v>Clinical- / VSC-</v>
      </c>
      <c r="P122" s="5">
        <f t="shared" si="10"/>
        <v>0</v>
      </c>
      <c r="Q122" s="5">
        <f t="shared" si="11"/>
        <v>0</v>
      </c>
      <c r="R122" s="5">
        <f t="shared" si="11"/>
        <v>0.69314718055994529</v>
      </c>
      <c r="S122" s="5">
        <f t="shared" si="12"/>
        <v>1</v>
      </c>
      <c r="T122" s="3">
        <f t="shared" si="13"/>
        <v>1</v>
      </c>
      <c r="U122" s="3" t="s">
        <v>102</v>
      </c>
      <c r="V122" s="3">
        <v>1</v>
      </c>
      <c r="W122" s="6">
        <v>7.4</v>
      </c>
      <c r="X122" s="4">
        <v>6</v>
      </c>
      <c r="Y122" s="5">
        <v>0.5</v>
      </c>
      <c r="Z122" s="5">
        <v>1</v>
      </c>
      <c r="AA122" s="3" t="s">
        <v>108</v>
      </c>
      <c r="AB122" s="3">
        <v>1</v>
      </c>
      <c r="AC122" s="3" t="s">
        <v>81</v>
      </c>
      <c r="AD122" s="3">
        <v>0</v>
      </c>
      <c r="AE122" s="3" t="s">
        <v>82</v>
      </c>
      <c r="AF122" s="3">
        <v>1</v>
      </c>
      <c r="AG122" s="3" t="s">
        <v>82</v>
      </c>
      <c r="AH122" s="3">
        <v>1</v>
      </c>
      <c r="AI122" s="3">
        <v>2</v>
      </c>
      <c r="AJ122" s="3">
        <v>0</v>
      </c>
      <c r="AK122" s="3">
        <v>0</v>
      </c>
      <c r="AL122" s="3">
        <v>1</v>
      </c>
      <c r="AM122" s="3">
        <v>0</v>
      </c>
      <c r="AN122" s="3">
        <v>0</v>
      </c>
      <c r="AO122" s="3">
        <v>1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7" t="s">
        <v>436</v>
      </c>
      <c r="BX122" s="7" t="s">
        <v>437</v>
      </c>
    </row>
    <row r="123" spans="1:76">
      <c r="A123" s="3" t="s">
        <v>438</v>
      </c>
      <c r="B123" s="3">
        <v>3677</v>
      </c>
      <c r="C123" s="3" t="s">
        <v>435</v>
      </c>
      <c r="D123" s="3">
        <v>2</v>
      </c>
      <c r="E123" s="4">
        <v>76</v>
      </c>
      <c r="F123" s="3" t="s">
        <v>87</v>
      </c>
      <c r="G123" s="3">
        <v>0</v>
      </c>
      <c r="H123" s="3">
        <v>0</v>
      </c>
      <c r="I123" s="4">
        <v>0</v>
      </c>
      <c r="J123" s="4">
        <v>1</v>
      </c>
      <c r="K123" s="4">
        <v>1</v>
      </c>
      <c r="L123" s="5">
        <f>IF(F123="F",65.79,IF(F123="M",79.94,""))</f>
        <v>65.790000000000006</v>
      </c>
      <c r="M123" s="3">
        <f t="shared" si="7"/>
        <v>0</v>
      </c>
      <c r="N123" s="3" t="str">
        <f t="shared" si="8"/>
        <v>VSC-non-halitosis</v>
      </c>
      <c r="O123" s="3" t="str">
        <f t="shared" si="9"/>
        <v>Clinical- / VSC-</v>
      </c>
      <c r="P123" s="5">
        <f t="shared" si="10"/>
        <v>0</v>
      </c>
      <c r="Q123" s="5">
        <f t="shared" si="11"/>
        <v>0</v>
      </c>
      <c r="R123" s="5">
        <f t="shared" si="11"/>
        <v>0.69314718055994529</v>
      </c>
      <c r="S123" s="5">
        <f t="shared" si="12"/>
        <v>1</v>
      </c>
      <c r="T123" s="3">
        <f t="shared" si="13"/>
        <v>1</v>
      </c>
      <c r="U123" s="3" t="s">
        <v>102</v>
      </c>
      <c r="V123" s="3">
        <v>1</v>
      </c>
      <c r="W123" s="6">
        <v>7.4</v>
      </c>
      <c r="X123" s="4">
        <v>6</v>
      </c>
      <c r="Y123" s="5">
        <v>0.5</v>
      </c>
      <c r="Z123" s="5">
        <v>1</v>
      </c>
      <c r="AA123" s="3" t="s">
        <v>108</v>
      </c>
      <c r="AB123" s="3">
        <v>1</v>
      </c>
      <c r="AC123" s="3" t="s">
        <v>81</v>
      </c>
      <c r="AD123" s="3">
        <v>0</v>
      </c>
      <c r="AE123" s="3" t="s">
        <v>82</v>
      </c>
      <c r="AF123" s="3">
        <v>1</v>
      </c>
      <c r="AG123" s="3" t="s">
        <v>82</v>
      </c>
      <c r="AH123" s="3">
        <v>1</v>
      </c>
      <c r="AI123" s="3">
        <v>2</v>
      </c>
      <c r="AJ123" s="3">
        <v>0</v>
      </c>
      <c r="AK123" s="3">
        <v>0</v>
      </c>
      <c r="AL123" s="3">
        <v>1</v>
      </c>
      <c r="AM123" s="3">
        <v>0</v>
      </c>
      <c r="AN123" s="3">
        <v>0</v>
      </c>
      <c r="AO123" s="3">
        <v>1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7" t="s">
        <v>436</v>
      </c>
      <c r="BX123" s="7" t="s">
        <v>437</v>
      </c>
    </row>
    <row r="124" spans="1:76">
      <c r="A124" s="3" t="s">
        <v>439</v>
      </c>
      <c r="B124" s="3">
        <v>3325</v>
      </c>
      <c r="C124" s="3" t="s">
        <v>440</v>
      </c>
      <c r="D124" s="3">
        <v>1</v>
      </c>
      <c r="E124" s="4">
        <v>52</v>
      </c>
      <c r="F124" s="3" t="s">
        <v>87</v>
      </c>
      <c r="G124" s="3">
        <v>0</v>
      </c>
      <c r="H124" s="3">
        <v>0</v>
      </c>
      <c r="I124" s="4">
        <v>266</v>
      </c>
      <c r="J124" s="4">
        <v>105</v>
      </c>
      <c r="K124" s="4">
        <v>371</v>
      </c>
      <c r="L124" s="5">
        <f>IF(F124="F",65.79,IF(F124="M",79.94,""))</f>
        <v>65.790000000000006</v>
      </c>
      <c r="M124" s="3">
        <f t="shared" si="7"/>
        <v>1</v>
      </c>
      <c r="N124" s="3" t="str">
        <f t="shared" si="8"/>
        <v>VSC-halitosis</v>
      </c>
      <c r="O124" s="3" t="str">
        <f t="shared" si="9"/>
        <v>Clinical- / VSC+</v>
      </c>
      <c r="P124" s="5">
        <f t="shared" si="10"/>
        <v>5.916202062607435</v>
      </c>
      <c r="Q124" s="5">
        <f t="shared" si="11"/>
        <v>5.5872486584002496</v>
      </c>
      <c r="R124" s="5">
        <f t="shared" si="11"/>
        <v>4.6634390941120669</v>
      </c>
      <c r="S124" s="5">
        <f t="shared" si="12"/>
        <v>0.28301886792452829</v>
      </c>
      <c r="T124" s="3">
        <f t="shared" si="13"/>
        <v>0</v>
      </c>
      <c r="U124" s="3" t="s">
        <v>96</v>
      </c>
      <c r="V124" s="3">
        <v>3</v>
      </c>
      <c r="W124" s="6">
        <v>6.6</v>
      </c>
      <c r="X124" s="4">
        <v>12</v>
      </c>
      <c r="Y124" s="5">
        <v>0.5</v>
      </c>
      <c r="Z124" s="5">
        <v>1.5</v>
      </c>
      <c r="AA124" s="3" t="s">
        <v>80</v>
      </c>
      <c r="AB124" s="3">
        <v>0</v>
      </c>
      <c r="AC124" s="3" t="s">
        <v>113</v>
      </c>
      <c r="AD124" s="3">
        <v>0</v>
      </c>
      <c r="AE124" s="3" t="s">
        <v>98</v>
      </c>
      <c r="AF124" s="3">
        <v>0</v>
      </c>
      <c r="AG124" s="3" t="s">
        <v>98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7" t="s">
        <v>119</v>
      </c>
      <c r="BX124" s="7" t="s">
        <v>119</v>
      </c>
    </row>
    <row r="125" spans="1:76" ht="51">
      <c r="A125" s="3" t="s">
        <v>441</v>
      </c>
      <c r="B125" s="3">
        <v>5659</v>
      </c>
      <c r="C125" s="3" t="s">
        <v>442</v>
      </c>
      <c r="D125" s="3">
        <v>1</v>
      </c>
      <c r="E125" s="4">
        <v>76</v>
      </c>
      <c r="F125" s="3" t="s">
        <v>78</v>
      </c>
      <c r="G125" s="3">
        <v>0</v>
      </c>
      <c r="H125" s="3">
        <v>1</v>
      </c>
      <c r="I125" s="4">
        <v>4</v>
      </c>
      <c r="J125" s="4">
        <v>8</v>
      </c>
      <c r="K125" s="4">
        <v>12</v>
      </c>
      <c r="L125" s="5">
        <f>IF(F125="F",65.79,IF(F125="M",79.94,""))</f>
        <v>79.94</v>
      </c>
      <c r="M125" s="3">
        <f t="shared" si="7"/>
        <v>0</v>
      </c>
      <c r="N125" s="3" t="str">
        <f t="shared" si="8"/>
        <v>VSC-non-halitosis</v>
      </c>
      <c r="O125" s="3" t="str">
        <f t="shared" si="9"/>
        <v>Clinical- / VSC-</v>
      </c>
      <c r="P125" s="5">
        <f t="shared" si="10"/>
        <v>2.4849066497880004</v>
      </c>
      <c r="Q125" s="5">
        <f t="shared" si="11"/>
        <v>1.6094379124341003</v>
      </c>
      <c r="R125" s="5">
        <f t="shared" si="11"/>
        <v>2.1972245773362196</v>
      </c>
      <c r="S125" s="5">
        <f t="shared" si="12"/>
        <v>0.66666666666666663</v>
      </c>
      <c r="T125" s="3">
        <f t="shared" si="13"/>
        <v>1</v>
      </c>
      <c r="U125" s="3" t="s">
        <v>79</v>
      </c>
      <c r="V125" s="3">
        <v>2</v>
      </c>
      <c r="W125" s="6">
        <v>7.2</v>
      </c>
      <c r="X125" s="4">
        <v>9</v>
      </c>
      <c r="Y125" s="5">
        <v>0.6</v>
      </c>
      <c r="Z125" s="5">
        <v>1.6</v>
      </c>
      <c r="AA125" s="3" t="s">
        <v>80</v>
      </c>
      <c r="AB125" s="3">
        <v>0</v>
      </c>
      <c r="AC125" s="3" t="s">
        <v>81</v>
      </c>
      <c r="AD125" s="3">
        <v>0</v>
      </c>
      <c r="AE125" s="3" t="s">
        <v>82</v>
      </c>
      <c r="AF125" s="3">
        <v>1</v>
      </c>
      <c r="AG125" s="3" t="s">
        <v>82</v>
      </c>
      <c r="AH125" s="3">
        <v>1</v>
      </c>
      <c r="AI125" s="3">
        <v>3</v>
      </c>
      <c r="AJ125" s="3">
        <v>2</v>
      </c>
      <c r="AK125" s="3">
        <v>2</v>
      </c>
      <c r="AL125" s="3">
        <v>1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1</v>
      </c>
      <c r="AS125" s="3">
        <v>1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1</v>
      </c>
      <c r="BN125" s="3">
        <v>1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7" t="s">
        <v>443</v>
      </c>
      <c r="BX125" s="7" t="s">
        <v>444</v>
      </c>
    </row>
    <row r="126" spans="1:76">
      <c r="A126" s="3" t="s">
        <v>445</v>
      </c>
      <c r="B126" s="3">
        <v>4113</v>
      </c>
      <c r="C126" s="3" t="s">
        <v>446</v>
      </c>
      <c r="D126" s="3">
        <v>1</v>
      </c>
      <c r="E126" s="4">
        <v>59</v>
      </c>
      <c r="F126" s="3" t="s">
        <v>87</v>
      </c>
      <c r="G126" s="3">
        <v>0</v>
      </c>
      <c r="H126" s="3">
        <v>1</v>
      </c>
      <c r="I126" s="4">
        <v>10</v>
      </c>
      <c r="J126" s="4">
        <v>17</v>
      </c>
      <c r="K126" s="4">
        <v>27</v>
      </c>
      <c r="L126" s="5">
        <f>IF(F126="F",65.79,IF(F126="M",79.94,""))</f>
        <v>65.790000000000006</v>
      </c>
      <c r="M126" s="3">
        <f t="shared" si="7"/>
        <v>0</v>
      </c>
      <c r="N126" s="3" t="str">
        <f t="shared" si="8"/>
        <v>VSC-non-halitosis</v>
      </c>
      <c r="O126" s="3" t="str">
        <f t="shared" si="9"/>
        <v>Clinical- / VSC-</v>
      </c>
      <c r="P126" s="5">
        <f t="shared" si="10"/>
        <v>3.2958368660043291</v>
      </c>
      <c r="Q126" s="5">
        <f t="shared" si="11"/>
        <v>2.3978952727983707</v>
      </c>
      <c r="R126" s="5">
        <f t="shared" si="11"/>
        <v>2.8903717578961645</v>
      </c>
      <c r="S126" s="5">
        <f t="shared" si="12"/>
        <v>0.62962962962962965</v>
      </c>
      <c r="T126" s="3">
        <f t="shared" si="13"/>
        <v>1</v>
      </c>
      <c r="U126" s="3" t="s">
        <v>96</v>
      </c>
      <c r="V126" s="3">
        <v>3</v>
      </c>
      <c r="W126" s="6">
        <v>5.2</v>
      </c>
      <c r="X126" s="4">
        <v>10</v>
      </c>
      <c r="Y126" s="5">
        <v>0.35</v>
      </c>
      <c r="Z126" s="5">
        <v>1</v>
      </c>
      <c r="AA126" s="3" t="s">
        <v>88</v>
      </c>
      <c r="AB126" s="3">
        <v>0</v>
      </c>
      <c r="AC126" s="3" t="s">
        <v>81</v>
      </c>
      <c r="AD126" s="3">
        <v>0</v>
      </c>
      <c r="AE126" s="3" t="s">
        <v>82</v>
      </c>
      <c r="AF126" s="3">
        <v>1</v>
      </c>
      <c r="AG126" s="3" t="s">
        <v>90</v>
      </c>
      <c r="AH126" s="3">
        <v>1</v>
      </c>
      <c r="AI126" s="3">
        <v>0</v>
      </c>
      <c r="AJ126" s="3">
        <v>1</v>
      </c>
      <c r="AK126" s="3">
        <v>1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1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7"/>
      <c r="BX126" s="7" t="s">
        <v>447</v>
      </c>
    </row>
    <row r="127" spans="1:76">
      <c r="A127" s="3" t="s">
        <v>448</v>
      </c>
      <c r="B127" s="3">
        <v>4671</v>
      </c>
      <c r="C127" s="3" t="s">
        <v>449</v>
      </c>
      <c r="D127" s="3">
        <v>1</v>
      </c>
      <c r="E127" s="4">
        <v>61</v>
      </c>
      <c r="F127" s="3" t="s">
        <v>87</v>
      </c>
      <c r="G127" s="3">
        <v>0</v>
      </c>
      <c r="H127" s="3">
        <v>0</v>
      </c>
      <c r="I127" s="4">
        <v>30</v>
      </c>
      <c r="J127" s="4">
        <v>0</v>
      </c>
      <c r="K127" s="4">
        <v>30</v>
      </c>
      <c r="L127" s="5">
        <f>IF(F127="F",65.79,IF(F127="M",79.94,""))</f>
        <v>65.790000000000006</v>
      </c>
      <c r="M127" s="3">
        <f t="shared" si="7"/>
        <v>0</v>
      </c>
      <c r="N127" s="3" t="str">
        <f t="shared" si="8"/>
        <v>VSC-non-halitosis</v>
      </c>
      <c r="O127" s="3" t="str">
        <f t="shared" si="9"/>
        <v>Clinical- / VSC-</v>
      </c>
      <c r="P127" s="5">
        <f t="shared" si="10"/>
        <v>3.4011973816621555</v>
      </c>
      <c r="Q127" s="5">
        <f t="shared" si="11"/>
        <v>3.4339872044851463</v>
      </c>
      <c r="R127" s="5">
        <f t="shared" si="11"/>
        <v>0</v>
      </c>
      <c r="S127" s="5">
        <f t="shared" si="12"/>
        <v>0</v>
      </c>
      <c r="T127" s="3">
        <f t="shared" si="13"/>
        <v>0</v>
      </c>
      <c r="U127" s="3" t="s">
        <v>96</v>
      </c>
      <c r="V127" s="3">
        <v>3</v>
      </c>
      <c r="W127" s="6"/>
      <c r="X127" s="4">
        <v>12</v>
      </c>
      <c r="Y127" s="5">
        <v>0.4</v>
      </c>
      <c r="Z127" s="5">
        <v>1.5</v>
      </c>
      <c r="AA127" s="3" t="s">
        <v>88</v>
      </c>
      <c r="AB127" s="3">
        <v>0</v>
      </c>
      <c r="AC127" s="3" t="s">
        <v>113</v>
      </c>
      <c r="AD127" s="3">
        <v>0</v>
      </c>
      <c r="AE127" s="3" t="s">
        <v>98</v>
      </c>
      <c r="AF127" s="3">
        <v>0</v>
      </c>
      <c r="AG127" s="3" t="s">
        <v>98</v>
      </c>
      <c r="AH127" s="3">
        <v>0</v>
      </c>
      <c r="AI127" s="3">
        <v>1</v>
      </c>
      <c r="AJ127" s="3">
        <v>1</v>
      </c>
      <c r="AK127" s="3">
        <v>0</v>
      </c>
      <c r="AL127" s="3">
        <v>1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1</v>
      </c>
      <c r="BW127" s="7" t="s">
        <v>186</v>
      </c>
      <c r="BX127" s="7" t="s">
        <v>450</v>
      </c>
    </row>
    <row r="128" spans="1:76">
      <c r="A128" s="3" t="s">
        <v>451</v>
      </c>
      <c r="B128" s="3">
        <v>4529</v>
      </c>
      <c r="C128" s="3" t="s">
        <v>452</v>
      </c>
      <c r="D128" s="3">
        <v>1</v>
      </c>
      <c r="E128" s="4">
        <v>51</v>
      </c>
      <c r="F128" s="3" t="s">
        <v>87</v>
      </c>
      <c r="G128" s="3">
        <v>0</v>
      </c>
      <c r="H128" s="3">
        <v>0</v>
      </c>
      <c r="I128" s="4">
        <v>269</v>
      </c>
      <c r="J128" s="4">
        <v>4</v>
      </c>
      <c r="K128" s="4">
        <v>273</v>
      </c>
      <c r="L128" s="5">
        <f>IF(F128="F",65.79,IF(F128="M",79.94,""))</f>
        <v>65.790000000000006</v>
      </c>
      <c r="M128" s="3">
        <f t="shared" si="7"/>
        <v>1</v>
      </c>
      <c r="N128" s="3" t="str">
        <f t="shared" si="8"/>
        <v>VSC-halitosis</v>
      </c>
      <c r="O128" s="3" t="str">
        <f t="shared" si="9"/>
        <v>Clinical- / VSC+</v>
      </c>
      <c r="P128" s="5">
        <f t="shared" si="10"/>
        <v>5.6094717951849598</v>
      </c>
      <c r="Q128" s="5">
        <f t="shared" si="11"/>
        <v>5.598421958998375</v>
      </c>
      <c r="R128" s="5">
        <f t="shared" si="11"/>
        <v>1.6094379124341003</v>
      </c>
      <c r="S128" s="5">
        <f t="shared" si="12"/>
        <v>1.4652014652014652E-2</v>
      </c>
      <c r="T128" s="3">
        <f t="shared" si="13"/>
        <v>0</v>
      </c>
      <c r="U128" s="3" t="s">
        <v>96</v>
      </c>
      <c r="V128" s="3">
        <v>3</v>
      </c>
      <c r="W128" s="6">
        <v>6.6</v>
      </c>
      <c r="X128" s="4">
        <v>3</v>
      </c>
      <c r="Y128" s="5">
        <v>0.5</v>
      </c>
      <c r="Z128" s="5">
        <v>2.4</v>
      </c>
      <c r="AA128" s="3" t="s">
        <v>88</v>
      </c>
      <c r="AB128" s="3">
        <v>0</v>
      </c>
      <c r="AC128" s="3" t="s">
        <v>81</v>
      </c>
      <c r="AD128" s="3">
        <v>0</v>
      </c>
      <c r="AE128" s="3" t="s">
        <v>82</v>
      </c>
      <c r="AF128" s="3">
        <v>1</v>
      </c>
      <c r="AG128" s="3" t="s">
        <v>98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7" t="s">
        <v>119</v>
      </c>
      <c r="BX128" s="7"/>
    </row>
    <row r="129" spans="1:76">
      <c r="A129" s="3" t="s">
        <v>453</v>
      </c>
      <c r="B129" s="3">
        <v>3904</v>
      </c>
      <c r="C129" s="3" t="s">
        <v>454</v>
      </c>
      <c r="D129" s="3">
        <v>1</v>
      </c>
      <c r="E129" s="4">
        <v>62</v>
      </c>
      <c r="F129" s="3" t="s">
        <v>87</v>
      </c>
      <c r="G129" s="3">
        <v>0</v>
      </c>
      <c r="H129" s="3">
        <v>0</v>
      </c>
      <c r="I129" s="4">
        <v>7</v>
      </c>
      <c r="J129" s="4">
        <v>2</v>
      </c>
      <c r="K129" s="4">
        <v>9</v>
      </c>
      <c r="L129" s="5">
        <f>IF(F129="F",65.79,IF(F129="M",79.94,""))</f>
        <v>65.790000000000006</v>
      </c>
      <c r="M129" s="3">
        <f t="shared" si="7"/>
        <v>0</v>
      </c>
      <c r="N129" s="3" t="str">
        <f t="shared" si="8"/>
        <v>VSC-non-halitosis</v>
      </c>
      <c r="O129" s="3" t="str">
        <f t="shared" si="9"/>
        <v>Clinical- / VSC-</v>
      </c>
      <c r="P129" s="5">
        <f t="shared" si="10"/>
        <v>2.1972245773362196</v>
      </c>
      <c r="Q129" s="5">
        <f t="shared" si="11"/>
        <v>2.0794415416798357</v>
      </c>
      <c r="R129" s="5">
        <f t="shared" si="11"/>
        <v>1.0986122886681098</v>
      </c>
      <c r="S129" s="5">
        <f t="shared" si="12"/>
        <v>0.22222222222222221</v>
      </c>
      <c r="T129" s="3">
        <f t="shared" si="13"/>
        <v>0</v>
      </c>
      <c r="U129" s="3" t="s">
        <v>79</v>
      </c>
      <c r="V129" s="3">
        <v>2</v>
      </c>
      <c r="W129" s="6">
        <v>6.6</v>
      </c>
      <c r="X129" s="4">
        <v>12</v>
      </c>
      <c r="Y129" s="5">
        <v>1</v>
      </c>
      <c r="Z129" s="5">
        <v>1</v>
      </c>
      <c r="AA129" s="3" t="s">
        <v>80</v>
      </c>
      <c r="AB129" s="3">
        <v>0</v>
      </c>
      <c r="AC129" s="3" t="s">
        <v>81</v>
      </c>
      <c r="AD129" s="3">
        <v>0</v>
      </c>
      <c r="AE129" s="3" t="s">
        <v>82</v>
      </c>
      <c r="AF129" s="3">
        <v>1</v>
      </c>
      <c r="AG129" s="3" t="s">
        <v>82</v>
      </c>
      <c r="AH129" s="3">
        <v>1</v>
      </c>
      <c r="AI129" s="3">
        <v>1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1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7" t="s">
        <v>455</v>
      </c>
      <c r="BX129" s="7" t="s">
        <v>456</v>
      </c>
    </row>
    <row r="130" spans="1:76">
      <c r="A130" s="3" t="s">
        <v>457</v>
      </c>
      <c r="B130" s="3">
        <v>3137</v>
      </c>
      <c r="C130" s="3" t="s">
        <v>458</v>
      </c>
      <c r="D130" s="3">
        <v>1</v>
      </c>
      <c r="E130" s="4">
        <v>79</v>
      </c>
      <c r="F130" s="3" t="s">
        <v>78</v>
      </c>
      <c r="G130" s="3">
        <v>0</v>
      </c>
      <c r="H130" s="3">
        <v>0</v>
      </c>
      <c r="I130" s="4">
        <v>1</v>
      </c>
      <c r="J130" s="4">
        <v>0</v>
      </c>
      <c r="K130" s="4">
        <v>1</v>
      </c>
      <c r="L130" s="5">
        <f>IF(F130="F",65.79,IF(F130="M",79.94,""))</f>
        <v>79.94</v>
      </c>
      <c r="M130" s="3">
        <f t="shared" ref="M130:M193" si="14">IF(AND(ISNUMBER(K130),ISNUMBER(L130),K130&gt;=L130),1,0)</f>
        <v>0</v>
      </c>
      <c r="N130" s="3" t="str">
        <f t="shared" ref="N130:N193" si="15">IF(M130=1,"VSC-halitosis","VSC-non-halitosis")</f>
        <v>VSC-non-halitosis</v>
      </c>
      <c r="O130" s="3" t="str">
        <f t="shared" ref="O130:O193" si="16">IF(AND(G130=1,M130=1),"Clinical+ / VSC+",IF(AND(G130=1,M130=0),"Clinical+ / VSC-",IF(AND(G130=0,M130=1),"Clinical- / VSC+","Clinical- / VSC-")))</f>
        <v>Clinical- / VSC-</v>
      </c>
      <c r="P130" s="5">
        <f t="shared" ref="P130:P193" si="17">IF(K130&gt;0,LN(K130),"")</f>
        <v>0</v>
      </c>
      <c r="Q130" s="5">
        <f t="shared" ref="Q130:R193" si="18">IF(ISNUMBER(I130),LN(I130+1),"")</f>
        <v>0.69314718055994529</v>
      </c>
      <c r="R130" s="5">
        <f t="shared" si="18"/>
        <v>0</v>
      </c>
      <c r="S130" s="5">
        <f t="shared" ref="S130:S193" si="19">IF(K130&gt;0,J130/K130,"")</f>
        <v>0</v>
      </c>
      <c r="T130" s="3">
        <f t="shared" ref="T130:T193" si="20">IF(J130&gt;I130,1,0)</f>
        <v>0</v>
      </c>
      <c r="U130" s="3" t="s">
        <v>102</v>
      </c>
      <c r="V130" s="3">
        <v>1</v>
      </c>
      <c r="W130" s="6">
        <v>7.4</v>
      </c>
      <c r="X130" s="4">
        <v>8</v>
      </c>
      <c r="Y130" s="5">
        <v>0.3</v>
      </c>
      <c r="Z130" s="5">
        <v>2.2000000000000002</v>
      </c>
      <c r="AA130" s="3" t="s">
        <v>80</v>
      </c>
      <c r="AB130" s="3">
        <v>0</v>
      </c>
      <c r="AC130" s="3" t="s">
        <v>81</v>
      </c>
      <c r="AD130" s="3">
        <v>0</v>
      </c>
      <c r="AE130" s="3" t="s">
        <v>82</v>
      </c>
      <c r="AF130" s="3">
        <v>1</v>
      </c>
      <c r="AG130" s="3" t="s">
        <v>82</v>
      </c>
      <c r="AH130" s="3">
        <v>1</v>
      </c>
      <c r="AI130" s="3">
        <v>1</v>
      </c>
      <c r="AJ130" s="3">
        <v>0</v>
      </c>
      <c r="AK130" s="3">
        <v>0</v>
      </c>
      <c r="AL130" s="3">
        <v>1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7" t="s">
        <v>186</v>
      </c>
      <c r="BX130" s="7" t="s">
        <v>459</v>
      </c>
    </row>
    <row r="131" spans="1:76">
      <c r="A131" s="3" t="s">
        <v>460</v>
      </c>
      <c r="B131" s="3">
        <v>3361</v>
      </c>
      <c r="C131" s="3" t="s">
        <v>461</v>
      </c>
      <c r="D131" s="3">
        <v>1</v>
      </c>
      <c r="E131" s="4">
        <v>83</v>
      </c>
      <c r="F131" s="3" t="s">
        <v>78</v>
      </c>
      <c r="G131" s="3">
        <v>0</v>
      </c>
      <c r="H131" s="3">
        <v>0</v>
      </c>
      <c r="I131" s="4">
        <v>15</v>
      </c>
      <c r="J131" s="4">
        <v>20</v>
      </c>
      <c r="K131" s="4">
        <v>35</v>
      </c>
      <c r="L131" s="5">
        <f>IF(F131="F",65.79,IF(F131="M",79.94,""))</f>
        <v>79.94</v>
      </c>
      <c r="M131" s="3">
        <f t="shared" si="14"/>
        <v>0</v>
      </c>
      <c r="N131" s="3" t="str">
        <f t="shared" si="15"/>
        <v>VSC-non-halitosis</v>
      </c>
      <c r="O131" s="3" t="str">
        <f t="shared" si="16"/>
        <v>Clinical- / VSC-</v>
      </c>
      <c r="P131" s="5">
        <f t="shared" si="17"/>
        <v>3.5553480614894135</v>
      </c>
      <c r="Q131" s="5">
        <f t="shared" si="18"/>
        <v>2.7725887222397811</v>
      </c>
      <c r="R131" s="5">
        <f t="shared" si="18"/>
        <v>3.044522437723423</v>
      </c>
      <c r="S131" s="5">
        <f t="shared" si="19"/>
        <v>0.5714285714285714</v>
      </c>
      <c r="T131" s="3">
        <f t="shared" si="20"/>
        <v>1</v>
      </c>
      <c r="U131" s="3" t="s">
        <v>96</v>
      </c>
      <c r="V131" s="3">
        <v>3</v>
      </c>
      <c r="W131" s="6">
        <v>6.2</v>
      </c>
      <c r="X131" s="4">
        <v>9</v>
      </c>
      <c r="Y131" s="5">
        <v>0.5</v>
      </c>
      <c r="Z131" s="5">
        <v>2</v>
      </c>
      <c r="AA131" s="3" t="s">
        <v>80</v>
      </c>
      <c r="AB131" s="3">
        <v>0</v>
      </c>
      <c r="AC131" s="3" t="s">
        <v>89</v>
      </c>
      <c r="AD131" s="3">
        <v>1</v>
      </c>
      <c r="AE131" s="3" t="s">
        <v>82</v>
      </c>
      <c r="AF131" s="3">
        <v>1</v>
      </c>
      <c r="AG131" s="3" t="s">
        <v>82</v>
      </c>
      <c r="AH131" s="3">
        <v>1</v>
      </c>
      <c r="AI131" s="3">
        <v>2</v>
      </c>
      <c r="AJ131" s="3">
        <v>2</v>
      </c>
      <c r="AK131" s="3">
        <v>2</v>
      </c>
      <c r="AL131" s="3">
        <v>1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1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1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1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7" t="s">
        <v>443</v>
      </c>
      <c r="BX131" s="7" t="s">
        <v>462</v>
      </c>
    </row>
    <row r="132" spans="1:76">
      <c r="A132" s="3" t="s">
        <v>463</v>
      </c>
      <c r="B132" s="3">
        <v>5852</v>
      </c>
      <c r="C132" s="3" t="s">
        <v>464</v>
      </c>
      <c r="D132" s="3">
        <v>1</v>
      </c>
      <c r="E132" s="4">
        <v>76</v>
      </c>
      <c r="F132" s="3" t="s">
        <v>78</v>
      </c>
      <c r="G132" s="3">
        <v>0</v>
      </c>
      <c r="H132" s="3">
        <v>0</v>
      </c>
      <c r="I132" s="4">
        <v>23</v>
      </c>
      <c r="J132" s="4">
        <v>9</v>
      </c>
      <c r="K132" s="4">
        <v>32</v>
      </c>
      <c r="L132" s="5">
        <f>IF(F132="F",65.79,IF(F132="M",79.94,""))</f>
        <v>79.94</v>
      </c>
      <c r="M132" s="3">
        <f t="shared" si="14"/>
        <v>0</v>
      </c>
      <c r="N132" s="3" t="str">
        <f t="shared" si="15"/>
        <v>VSC-non-halitosis</v>
      </c>
      <c r="O132" s="3" t="str">
        <f t="shared" si="16"/>
        <v>Clinical- / VSC-</v>
      </c>
      <c r="P132" s="5">
        <f t="shared" si="17"/>
        <v>3.4657359027997265</v>
      </c>
      <c r="Q132" s="5">
        <f t="shared" si="18"/>
        <v>3.1780538303479458</v>
      </c>
      <c r="R132" s="5">
        <f t="shared" si="18"/>
        <v>2.3025850929940459</v>
      </c>
      <c r="S132" s="5">
        <f t="shared" si="19"/>
        <v>0.28125</v>
      </c>
      <c r="T132" s="3">
        <f t="shared" si="20"/>
        <v>0</v>
      </c>
      <c r="U132" s="3" t="s">
        <v>96</v>
      </c>
      <c r="V132" s="3">
        <v>3</v>
      </c>
      <c r="W132" s="6">
        <v>6.8</v>
      </c>
      <c r="X132" s="4">
        <v>7</v>
      </c>
      <c r="Y132" s="5">
        <v>0.4</v>
      </c>
      <c r="Z132" s="5">
        <v>2.5</v>
      </c>
      <c r="AA132" s="3" t="s">
        <v>80</v>
      </c>
      <c r="AB132" s="3">
        <v>0</v>
      </c>
      <c r="AC132" s="3" t="s">
        <v>81</v>
      </c>
      <c r="AD132" s="3">
        <v>0</v>
      </c>
      <c r="AE132" s="3" t="s">
        <v>82</v>
      </c>
      <c r="AF132" s="3">
        <v>1</v>
      </c>
      <c r="AG132" s="3" t="s">
        <v>82</v>
      </c>
      <c r="AH132" s="3">
        <v>1</v>
      </c>
      <c r="AI132" s="3">
        <v>1</v>
      </c>
      <c r="AJ132" s="3">
        <v>1</v>
      </c>
      <c r="AK132" s="3">
        <v>0</v>
      </c>
      <c r="AL132" s="3">
        <v>1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1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7" t="s">
        <v>186</v>
      </c>
      <c r="BX132" s="7" t="s">
        <v>465</v>
      </c>
    </row>
    <row r="133" spans="1:76" ht="34">
      <c r="A133" s="3" t="s">
        <v>466</v>
      </c>
      <c r="B133" s="3">
        <v>5377</v>
      </c>
      <c r="C133" s="3" t="s">
        <v>467</v>
      </c>
      <c r="D133" s="3">
        <v>1</v>
      </c>
      <c r="E133" s="4">
        <v>81</v>
      </c>
      <c r="F133" s="3" t="s">
        <v>87</v>
      </c>
      <c r="G133" s="3">
        <v>0</v>
      </c>
      <c r="H133" s="3">
        <v>0</v>
      </c>
      <c r="I133" s="4">
        <v>0</v>
      </c>
      <c r="J133" s="4">
        <v>1</v>
      </c>
      <c r="K133" s="4">
        <v>1</v>
      </c>
      <c r="L133" s="5">
        <f>IF(F133="F",65.79,IF(F133="M",79.94,""))</f>
        <v>65.790000000000006</v>
      </c>
      <c r="M133" s="3">
        <f t="shared" si="14"/>
        <v>0</v>
      </c>
      <c r="N133" s="3" t="str">
        <f t="shared" si="15"/>
        <v>VSC-non-halitosis</v>
      </c>
      <c r="O133" s="3" t="str">
        <f t="shared" si="16"/>
        <v>Clinical- / VSC-</v>
      </c>
      <c r="P133" s="5">
        <f t="shared" si="17"/>
        <v>0</v>
      </c>
      <c r="Q133" s="5">
        <f t="shared" si="18"/>
        <v>0</v>
      </c>
      <c r="R133" s="5">
        <f t="shared" si="18"/>
        <v>0.69314718055994529</v>
      </c>
      <c r="S133" s="5">
        <f t="shared" si="19"/>
        <v>1</v>
      </c>
      <c r="T133" s="3">
        <f t="shared" si="20"/>
        <v>1</v>
      </c>
      <c r="U133" s="3" t="s">
        <v>102</v>
      </c>
      <c r="V133" s="3">
        <v>1</v>
      </c>
      <c r="W133" s="6">
        <v>6.4</v>
      </c>
      <c r="X133" s="4">
        <v>8</v>
      </c>
      <c r="Y133" s="5">
        <v>0.75</v>
      </c>
      <c r="Z133" s="5">
        <v>1.2</v>
      </c>
      <c r="AA133" s="3" t="s">
        <v>80</v>
      </c>
      <c r="AB133" s="3">
        <v>0</v>
      </c>
      <c r="AC133" s="3" t="s">
        <v>81</v>
      </c>
      <c r="AD133" s="3">
        <v>0</v>
      </c>
      <c r="AE133" s="3" t="s">
        <v>98</v>
      </c>
      <c r="AF133" s="3">
        <v>0</v>
      </c>
      <c r="AG133" s="3" t="s">
        <v>82</v>
      </c>
      <c r="AH133" s="3">
        <v>1</v>
      </c>
      <c r="AI133" s="3">
        <v>4</v>
      </c>
      <c r="AJ133" s="3">
        <v>1</v>
      </c>
      <c r="AK133" s="3">
        <v>0</v>
      </c>
      <c r="AL133" s="3">
        <v>1</v>
      </c>
      <c r="AM133" s="3">
        <v>1</v>
      </c>
      <c r="AN133" s="3">
        <v>1</v>
      </c>
      <c r="AO133" s="3">
        <v>0</v>
      </c>
      <c r="AP133" s="3">
        <v>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1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7" t="s">
        <v>468</v>
      </c>
      <c r="BX133" s="7" t="s">
        <v>469</v>
      </c>
    </row>
    <row r="134" spans="1:76">
      <c r="A134" s="3" t="s">
        <v>470</v>
      </c>
      <c r="B134" s="3">
        <v>5885</v>
      </c>
      <c r="C134" s="3" t="s">
        <v>471</v>
      </c>
      <c r="D134" s="3">
        <v>1</v>
      </c>
      <c r="E134" s="4">
        <v>53</v>
      </c>
      <c r="F134" s="3" t="s">
        <v>87</v>
      </c>
      <c r="G134" s="3">
        <v>0</v>
      </c>
      <c r="H134" s="3">
        <v>0</v>
      </c>
      <c r="I134" s="4">
        <v>1</v>
      </c>
      <c r="J134" s="4">
        <v>1</v>
      </c>
      <c r="K134" s="4">
        <v>2</v>
      </c>
      <c r="L134" s="5">
        <f>IF(F134="F",65.79,IF(F134="M",79.94,""))</f>
        <v>65.790000000000006</v>
      </c>
      <c r="M134" s="3">
        <f t="shared" si="14"/>
        <v>0</v>
      </c>
      <c r="N134" s="3" t="str">
        <f t="shared" si="15"/>
        <v>VSC-non-halitosis</v>
      </c>
      <c r="O134" s="3" t="str">
        <f t="shared" si="16"/>
        <v>Clinical- / VSC-</v>
      </c>
      <c r="P134" s="5">
        <f t="shared" si="17"/>
        <v>0.69314718055994529</v>
      </c>
      <c r="Q134" s="5">
        <f t="shared" si="18"/>
        <v>0.69314718055994529</v>
      </c>
      <c r="R134" s="5">
        <f t="shared" si="18"/>
        <v>0.69314718055994529</v>
      </c>
      <c r="S134" s="5">
        <f t="shared" si="19"/>
        <v>0.5</v>
      </c>
      <c r="T134" s="3">
        <f t="shared" si="20"/>
        <v>0</v>
      </c>
      <c r="U134" s="3" t="s">
        <v>102</v>
      </c>
      <c r="V134" s="3">
        <v>1</v>
      </c>
      <c r="W134" s="6">
        <v>6.6</v>
      </c>
      <c r="X134" s="4">
        <v>12</v>
      </c>
      <c r="Y134" s="5">
        <v>0.35</v>
      </c>
      <c r="Z134" s="5">
        <v>0.7</v>
      </c>
      <c r="AA134" s="3" t="s">
        <v>97</v>
      </c>
      <c r="AB134" s="3">
        <v>0</v>
      </c>
      <c r="AC134" s="3" t="s">
        <v>81</v>
      </c>
      <c r="AD134" s="3">
        <v>0</v>
      </c>
      <c r="AE134" s="3" t="s">
        <v>82</v>
      </c>
      <c r="AF134" s="3">
        <v>1</v>
      </c>
      <c r="AG134" s="3" t="s">
        <v>82</v>
      </c>
      <c r="AH134" s="3">
        <v>1</v>
      </c>
      <c r="AI134" s="3">
        <v>1</v>
      </c>
      <c r="AJ134" s="3">
        <v>2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1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1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1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7" t="s">
        <v>472</v>
      </c>
      <c r="BX134" s="7"/>
    </row>
    <row r="135" spans="1:76">
      <c r="A135" s="3" t="s">
        <v>473</v>
      </c>
      <c r="B135" s="3">
        <v>3184</v>
      </c>
      <c r="C135" s="3" t="s">
        <v>474</v>
      </c>
      <c r="D135" s="3">
        <v>1</v>
      </c>
      <c r="E135" s="4">
        <v>60</v>
      </c>
      <c r="F135" s="3" t="s">
        <v>87</v>
      </c>
      <c r="G135" s="3">
        <v>0</v>
      </c>
      <c r="H135" s="3">
        <v>0</v>
      </c>
      <c r="I135" s="4">
        <v>113</v>
      </c>
      <c r="J135" s="4">
        <v>86</v>
      </c>
      <c r="K135" s="4">
        <v>199</v>
      </c>
      <c r="L135" s="5">
        <f>IF(F135="F",65.79,IF(F135="M",79.94,""))</f>
        <v>65.790000000000006</v>
      </c>
      <c r="M135" s="3">
        <f t="shared" si="14"/>
        <v>1</v>
      </c>
      <c r="N135" s="3" t="str">
        <f t="shared" si="15"/>
        <v>VSC-halitosis</v>
      </c>
      <c r="O135" s="3" t="str">
        <f t="shared" si="16"/>
        <v>Clinical- / VSC+</v>
      </c>
      <c r="P135" s="5">
        <f t="shared" si="17"/>
        <v>5.2933048247244923</v>
      </c>
      <c r="Q135" s="5">
        <f t="shared" si="18"/>
        <v>4.7361984483944957</v>
      </c>
      <c r="R135" s="5">
        <f t="shared" si="18"/>
        <v>4.4659081186545837</v>
      </c>
      <c r="S135" s="5">
        <f t="shared" si="19"/>
        <v>0.43216080402010049</v>
      </c>
      <c r="T135" s="3">
        <f t="shared" si="20"/>
        <v>0</v>
      </c>
      <c r="U135" s="3" t="s">
        <v>96</v>
      </c>
      <c r="V135" s="3">
        <v>3</v>
      </c>
      <c r="W135" s="6">
        <v>6.2</v>
      </c>
      <c r="X135" s="4">
        <v>12</v>
      </c>
      <c r="Y135" s="5">
        <v>0.8</v>
      </c>
      <c r="Z135" s="5">
        <v>2</v>
      </c>
      <c r="AA135" s="3" t="s">
        <v>80</v>
      </c>
      <c r="AB135" s="3">
        <v>0</v>
      </c>
      <c r="AC135" s="3" t="s">
        <v>81</v>
      </c>
      <c r="AD135" s="3">
        <v>0</v>
      </c>
      <c r="AE135" s="3" t="s">
        <v>82</v>
      </c>
      <c r="AF135" s="3">
        <v>1</v>
      </c>
      <c r="AG135" s="3" t="s">
        <v>82</v>
      </c>
      <c r="AH135" s="3">
        <v>1</v>
      </c>
      <c r="AI135" s="3">
        <v>2</v>
      </c>
      <c r="AJ135" s="3">
        <v>1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1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1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7" t="s">
        <v>219</v>
      </c>
      <c r="BX135" s="7" t="s">
        <v>475</v>
      </c>
    </row>
    <row r="136" spans="1:76">
      <c r="A136" s="3" t="s">
        <v>476</v>
      </c>
      <c r="B136" s="3">
        <v>4508</v>
      </c>
      <c r="C136" s="3" t="s">
        <v>477</v>
      </c>
      <c r="D136" s="3">
        <v>2</v>
      </c>
      <c r="E136" s="4">
        <v>48</v>
      </c>
      <c r="F136" s="3" t="s">
        <v>87</v>
      </c>
      <c r="G136" s="3">
        <v>1</v>
      </c>
      <c r="H136" s="3">
        <v>0</v>
      </c>
      <c r="I136" s="4">
        <v>3</v>
      </c>
      <c r="J136" s="4">
        <v>1</v>
      </c>
      <c r="K136" s="4">
        <v>4</v>
      </c>
      <c r="L136" s="5">
        <f>IF(F136="F",65.79,IF(F136="M",79.94,""))</f>
        <v>65.790000000000006</v>
      </c>
      <c r="M136" s="3">
        <f t="shared" si="14"/>
        <v>0</v>
      </c>
      <c r="N136" s="3" t="str">
        <f t="shared" si="15"/>
        <v>VSC-non-halitosis</v>
      </c>
      <c r="O136" s="3" t="str">
        <f t="shared" si="16"/>
        <v>Clinical+ / VSC-</v>
      </c>
      <c r="P136" s="5">
        <f t="shared" si="17"/>
        <v>1.3862943611198906</v>
      </c>
      <c r="Q136" s="5">
        <f t="shared" si="18"/>
        <v>1.3862943611198906</v>
      </c>
      <c r="R136" s="5">
        <f t="shared" si="18"/>
        <v>0.69314718055994529</v>
      </c>
      <c r="S136" s="5">
        <f t="shared" si="19"/>
        <v>0.25</v>
      </c>
      <c r="T136" s="3">
        <f t="shared" si="20"/>
        <v>0</v>
      </c>
      <c r="U136" s="3" t="s">
        <v>79</v>
      </c>
      <c r="V136" s="3">
        <v>2</v>
      </c>
      <c r="W136" s="6">
        <v>6.6</v>
      </c>
      <c r="X136" s="4">
        <v>3</v>
      </c>
      <c r="Y136" s="5">
        <v>0.2</v>
      </c>
      <c r="Z136" s="5">
        <v>1.2</v>
      </c>
      <c r="AA136" s="3" t="s">
        <v>208</v>
      </c>
      <c r="AB136" s="3">
        <v>1</v>
      </c>
      <c r="AC136" s="3" t="s">
        <v>81</v>
      </c>
      <c r="AD136" s="3">
        <v>0</v>
      </c>
      <c r="AE136" s="3" t="s">
        <v>98</v>
      </c>
      <c r="AF136" s="3">
        <v>0</v>
      </c>
      <c r="AG136" s="3" t="s">
        <v>98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7"/>
      <c r="BX136" s="7"/>
    </row>
    <row r="137" spans="1:76">
      <c r="A137" s="3" t="s">
        <v>478</v>
      </c>
      <c r="B137" s="3">
        <v>4508</v>
      </c>
      <c r="C137" s="3" t="s">
        <v>477</v>
      </c>
      <c r="D137" s="3">
        <v>2</v>
      </c>
      <c r="E137" s="4">
        <v>49</v>
      </c>
      <c r="F137" s="3" t="s">
        <v>87</v>
      </c>
      <c r="G137" s="3">
        <v>1</v>
      </c>
      <c r="H137" s="3">
        <v>0</v>
      </c>
      <c r="I137" s="4">
        <v>36</v>
      </c>
      <c r="J137" s="4">
        <v>5</v>
      </c>
      <c r="K137" s="4">
        <v>41</v>
      </c>
      <c r="L137" s="5">
        <f>IF(F137="F",65.79,IF(F137="M",79.94,""))</f>
        <v>65.790000000000006</v>
      </c>
      <c r="M137" s="3">
        <f t="shared" si="14"/>
        <v>0</v>
      </c>
      <c r="N137" s="3" t="str">
        <f t="shared" si="15"/>
        <v>VSC-non-halitosis</v>
      </c>
      <c r="O137" s="3" t="str">
        <f t="shared" si="16"/>
        <v>Clinical+ / VSC-</v>
      </c>
      <c r="P137" s="5">
        <f t="shared" si="17"/>
        <v>3.713572066704308</v>
      </c>
      <c r="Q137" s="5">
        <f t="shared" si="18"/>
        <v>3.6109179126442243</v>
      </c>
      <c r="R137" s="5">
        <f t="shared" si="18"/>
        <v>1.791759469228055</v>
      </c>
      <c r="S137" s="5">
        <f t="shared" si="19"/>
        <v>0.12195121951219512</v>
      </c>
      <c r="T137" s="3">
        <f t="shared" si="20"/>
        <v>0</v>
      </c>
      <c r="U137" s="3" t="s">
        <v>96</v>
      </c>
      <c r="V137" s="3">
        <v>3</v>
      </c>
      <c r="W137" s="6">
        <v>6.6</v>
      </c>
      <c r="X137" s="4">
        <v>3</v>
      </c>
      <c r="Y137" s="5">
        <v>0.2</v>
      </c>
      <c r="Z137" s="5">
        <v>1.2</v>
      </c>
      <c r="AA137" s="3" t="s">
        <v>208</v>
      </c>
      <c r="AB137" s="3">
        <v>1</v>
      </c>
      <c r="AC137" s="3" t="s">
        <v>81</v>
      </c>
      <c r="AD137" s="3">
        <v>0</v>
      </c>
      <c r="AE137" s="3" t="s">
        <v>98</v>
      </c>
      <c r="AF137" s="3">
        <v>0</v>
      </c>
      <c r="AG137" s="3" t="s">
        <v>98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7"/>
      <c r="BX137" s="7"/>
    </row>
    <row r="138" spans="1:76">
      <c r="A138" s="3" t="s">
        <v>479</v>
      </c>
      <c r="B138" s="3">
        <v>4046</v>
      </c>
      <c r="C138" s="3" t="s">
        <v>480</v>
      </c>
      <c r="D138" s="3">
        <v>2</v>
      </c>
      <c r="E138" s="4">
        <v>78</v>
      </c>
      <c r="F138" s="3" t="s">
        <v>78</v>
      </c>
      <c r="G138" s="3">
        <v>1</v>
      </c>
      <c r="H138" s="3">
        <v>0</v>
      </c>
      <c r="I138" s="4">
        <v>35</v>
      </c>
      <c r="J138" s="4">
        <v>4</v>
      </c>
      <c r="K138" s="4">
        <v>39</v>
      </c>
      <c r="L138" s="5">
        <f>IF(F138="F",65.79,IF(F138="M",79.94,""))</f>
        <v>79.94</v>
      </c>
      <c r="M138" s="3">
        <f t="shared" si="14"/>
        <v>0</v>
      </c>
      <c r="N138" s="3" t="str">
        <f t="shared" si="15"/>
        <v>VSC-non-halitosis</v>
      </c>
      <c r="O138" s="3" t="str">
        <f t="shared" si="16"/>
        <v>Clinical+ / VSC-</v>
      </c>
      <c r="P138" s="5">
        <f t="shared" si="17"/>
        <v>3.6635616461296463</v>
      </c>
      <c r="Q138" s="5">
        <f t="shared" si="18"/>
        <v>3.5835189384561099</v>
      </c>
      <c r="R138" s="5">
        <f t="shared" si="18"/>
        <v>1.6094379124341003</v>
      </c>
      <c r="S138" s="5">
        <f t="shared" si="19"/>
        <v>0.10256410256410256</v>
      </c>
      <c r="T138" s="3">
        <f t="shared" si="20"/>
        <v>0</v>
      </c>
      <c r="U138" s="3" t="s">
        <v>96</v>
      </c>
      <c r="V138" s="3">
        <v>3</v>
      </c>
      <c r="W138" s="6">
        <v>7.6</v>
      </c>
      <c r="X138" s="4">
        <v>12</v>
      </c>
      <c r="Y138" s="5">
        <v>0.65</v>
      </c>
      <c r="Z138" s="5">
        <v>2</v>
      </c>
      <c r="AA138" s="3" t="s">
        <v>88</v>
      </c>
      <c r="AB138" s="3">
        <v>0</v>
      </c>
      <c r="AC138" s="3" t="s">
        <v>138</v>
      </c>
      <c r="AD138" s="3">
        <v>1</v>
      </c>
      <c r="AE138" s="3" t="s">
        <v>90</v>
      </c>
      <c r="AF138" s="3">
        <v>1</v>
      </c>
      <c r="AG138" s="3" t="s">
        <v>90</v>
      </c>
      <c r="AH138" s="3">
        <v>1</v>
      </c>
      <c r="AI138" s="3">
        <v>2</v>
      </c>
      <c r="AJ138" s="3">
        <v>0</v>
      </c>
      <c r="AK138" s="3">
        <v>0</v>
      </c>
      <c r="AL138" s="3">
        <v>1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1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7" t="s">
        <v>186</v>
      </c>
      <c r="BX138" s="7" t="s">
        <v>481</v>
      </c>
    </row>
    <row r="139" spans="1:76">
      <c r="A139" s="3" t="s">
        <v>482</v>
      </c>
      <c r="B139" s="3">
        <v>4046</v>
      </c>
      <c r="C139" s="3" t="s">
        <v>480</v>
      </c>
      <c r="D139" s="3">
        <v>2</v>
      </c>
      <c r="E139" s="4">
        <v>78</v>
      </c>
      <c r="F139" s="3" t="s">
        <v>78</v>
      </c>
      <c r="G139" s="3">
        <v>1</v>
      </c>
      <c r="H139" s="3">
        <v>0</v>
      </c>
      <c r="I139" s="4">
        <v>4</v>
      </c>
      <c r="J139" s="4">
        <v>0</v>
      </c>
      <c r="K139" s="4">
        <v>4</v>
      </c>
      <c r="L139" s="5">
        <f>IF(F139="F",65.79,IF(F139="M",79.94,""))</f>
        <v>79.94</v>
      </c>
      <c r="M139" s="3">
        <f t="shared" si="14"/>
        <v>0</v>
      </c>
      <c r="N139" s="3" t="str">
        <f t="shared" si="15"/>
        <v>VSC-non-halitosis</v>
      </c>
      <c r="O139" s="3" t="str">
        <f t="shared" si="16"/>
        <v>Clinical+ / VSC-</v>
      </c>
      <c r="P139" s="5">
        <f t="shared" si="17"/>
        <v>1.3862943611198906</v>
      </c>
      <c r="Q139" s="5">
        <f t="shared" si="18"/>
        <v>1.6094379124341003</v>
      </c>
      <c r="R139" s="5">
        <f t="shared" si="18"/>
        <v>0</v>
      </c>
      <c r="S139" s="5">
        <f t="shared" si="19"/>
        <v>0</v>
      </c>
      <c r="T139" s="3">
        <f t="shared" si="20"/>
        <v>0</v>
      </c>
      <c r="U139" s="3" t="s">
        <v>79</v>
      </c>
      <c r="V139" s="3">
        <v>2</v>
      </c>
      <c r="W139" s="6">
        <v>7.6</v>
      </c>
      <c r="X139" s="4">
        <v>12</v>
      </c>
      <c r="Y139" s="5">
        <v>0.65</v>
      </c>
      <c r="Z139" s="5">
        <v>2</v>
      </c>
      <c r="AA139" s="3" t="s">
        <v>88</v>
      </c>
      <c r="AB139" s="3">
        <v>0</v>
      </c>
      <c r="AC139" s="3" t="s">
        <v>138</v>
      </c>
      <c r="AD139" s="3">
        <v>1</v>
      </c>
      <c r="AE139" s="3" t="s">
        <v>90</v>
      </c>
      <c r="AF139" s="3">
        <v>1</v>
      </c>
      <c r="AG139" s="3" t="s">
        <v>90</v>
      </c>
      <c r="AH139" s="3">
        <v>1</v>
      </c>
      <c r="AI139" s="3">
        <v>2</v>
      </c>
      <c r="AJ139" s="3">
        <v>0</v>
      </c>
      <c r="AK139" s="3">
        <v>0</v>
      </c>
      <c r="AL139" s="3">
        <v>1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1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7" t="s">
        <v>186</v>
      </c>
      <c r="BX139" s="7" t="s">
        <v>481</v>
      </c>
    </row>
    <row r="140" spans="1:76">
      <c r="A140" s="3" t="s">
        <v>483</v>
      </c>
      <c r="B140" s="3">
        <v>5901</v>
      </c>
      <c r="C140" s="3" t="s">
        <v>484</v>
      </c>
      <c r="D140" s="3">
        <v>1</v>
      </c>
      <c r="E140" s="4">
        <v>46</v>
      </c>
      <c r="F140" s="3" t="s">
        <v>87</v>
      </c>
      <c r="G140" s="3">
        <v>0</v>
      </c>
      <c r="H140" s="3">
        <v>0</v>
      </c>
      <c r="I140" s="4">
        <v>4</v>
      </c>
      <c r="J140" s="4">
        <v>12</v>
      </c>
      <c r="K140" s="4">
        <v>16</v>
      </c>
      <c r="L140" s="5">
        <f>IF(F140="F",65.79,IF(F140="M",79.94,""))</f>
        <v>65.790000000000006</v>
      </c>
      <c r="M140" s="3">
        <f t="shared" si="14"/>
        <v>0</v>
      </c>
      <c r="N140" s="3" t="str">
        <f t="shared" si="15"/>
        <v>VSC-non-halitosis</v>
      </c>
      <c r="O140" s="3" t="str">
        <f t="shared" si="16"/>
        <v>Clinical- / VSC-</v>
      </c>
      <c r="P140" s="5">
        <f t="shared" si="17"/>
        <v>2.7725887222397811</v>
      </c>
      <c r="Q140" s="5">
        <f t="shared" si="18"/>
        <v>1.6094379124341003</v>
      </c>
      <c r="R140" s="5">
        <f t="shared" si="18"/>
        <v>2.5649493574615367</v>
      </c>
      <c r="S140" s="5">
        <f t="shared" si="19"/>
        <v>0.75</v>
      </c>
      <c r="T140" s="3">
        <f t="shared" si="20"/>
        <v>1</v>
      </c>
      <c r="U140" s="3" t="s">
        <v>79</v>
      </c>
      <c r="V140" s="3">
        <v>2</v>
      </c>
      <c r="W140" s="6">
        <v>6.6</v>
      </c>
      <c r="X140" s="4">
        <v>6</v>
      </c>
      <c r="Y140" s="5">
        <v>0.25</v>
      </c>
      <c r="Z140" s="5">
        <v>0.5</v>
      </c>
      <c r="AA140" s="3" t="s">
        <v>97</v>
      </c>
      <c r="AB140" s="3">
        <v>0</v>
      </c>
      <c r="AC140" s="3" t="s">
        <v>81</v>
      </c>
      <c r="AD140" s="3">
        <v>0</v>
      </c>
      <c r="AE140" s="3" t="s">
        <v>82</v>
      </c>
      <c r="AF140" s="3">
        <v>1</v>
      </c>
      <c r="AG140" s="3" t="s">
        <v>82</v>
      </c>
      <c r="AH140" s="3">
        <v>1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7" t="s">
        <v>485</v>
      </c>
      <c r="BX140" s="7" t="s">
        <v>486</v>
      </c>
    </row>
    <row r="141" spans="1:76">
      <c r="A141" s="3" t="s">
        <v>487</v>
      </c>
      <c r="B141" s="3">
        <v>3892</v>
      </c>
      <c r="C141" s="3" t="s">
        <v>488</v>
      </c>
      <c r="D141" s="3">
        <v>1</v>
      </c>
      <c r="E141" s="4">
        <v>80</v>
      </c>
      <c r="F141" s="3" t="s">
        <v>87</v>
      </c>
      <c r="G141" s="3">
        <v>0</v>
      </c>
      <c r="H141" s="3">
        <v>0</v>
      </c>
      <c r="I141" s="4">
        <v>19</v>
      </c>
      <c r="J141" s="4">
        <v>26</v>
      </c>
      <c r="K141" s="4">
        <v>45</v>
      </c>
      <c r="L141" s="5">
        <f>IF(F141="F",65.79,IF(F141="M",79.94,""))</f>
        <v>65.790000000000006</v>
      </c>
      <c r="M141" s="3">
        <f t="shared" si="14"/>
        <v>0</v>
      </c>
      <c r="N141" s="3" t="str">
        <f t="shared" si="15"/>
        <v>VSC-non-halitosis</v>
      </c>
      <c r="O141" s="3" t="str">
        <f t="shared" si="16"/>
        <v>Clinical- / VSC-</v>
      </c>
      <c r="P141" s="5">
        <f t="shared" si="17"/>
        <v>3.8066624897703196</v>
      </c>
      <c r="Q141" s="5">
        <f t="shared" si="18"/>
        <v>2.9957322735539909</v>
      </c>
      <c r="R141" s="5">
        <f t="shared" si="18"/>
        <v>3.2958368660043291</v>
      </c>
      <c r="S141" s="5">
        <f t="shared" si="19"/>
        <v>0.57777777777777772</v>
      </c>
      <c r="T141" s="3">
        <f t="shared" si="20"/>
        <v>1</v>
      </c>
      <c r="U141" s="3" t="s">
        <v>96</v>
      </c>
      <c r="V141" s="3">
        <v>3</v>
      </c>
      <c r="W141" s="6">
        <v>6.2</v>
      </c>
      <c r="X141" s="4">
        <v>8</v>
      </c>
      <c r="Y141" s="5">
        <v>0.1</v>
      </c>
      <c r="Z141" s="5">
        <v>1.2</v>
      </c>
      <c r="AA141" s="3" t="s">
        <v>108</v>
      </c>
      <c r="AB141" s="3">
        <v>1</v>
      </c>
      <c r="AC141" s="3" t="s">
        <v>81</v>
      </c>
      <c r="AD141" s="3">
        <v>0</v>
      </c>
      <c r="AE141" s="3" t="s">
        <v>98</v>
      </c>
      <c r="AF141" s="3">
        <v>0</v>
      </c>
      <c r="AG141" s="3" t="s">
        <v>98</v>
      </c>
      <c r="AH141" s="3">
        <v>0</v>
      </c>
      <c r="AI141" s="3">
        <v>1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1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7"/>
      <c r="BX141" s="7" t="s">
        <v>489</v>
      </c>
    </row>
    <row r="142" spans="1:76" ht="34">
      <c r="A142" s="3" t="s">
        <v>490</v>
      </c>
      <c r="B142" s="3">
        <v>4151</v>
      </c>
      <c r="C142" s="3" t="s">
        <v>491</v>
      </c>
      <c r="D142" s="3">
        <v>1</v>
      </c>
      <c r="E142" s="4">
        <v>73</v>
      </c>
      <c r="F142" s="3" t="s">
        <v>87</v>
      </c>
      <c r="G142" s="3">
        <v>0</v>
      </c>
      <c r="H142" s="3">
        <v>0</v>
      </c>
      <c r="I142" s="4">
        <v>15</v>
      </c>
      <c r="J142" s="4">
        <v>2</v>
      </c>
      <c r="K142" s="4">
        <v>17</v>
      </c>
      <c r="L142" s="5">
        <f>IF(F142="F",65.79,IF(F142="M",79.94,""))</f>
        <v>65.790000000000006</v>
      </c>
      <c r="M142" s="3">
        <f t="shared" si="14"/>
        <v>0</v>
      </c>
      <c r="N142" s="3" t="str">
        <f t="shared" si="15"/>
        <v>VSC-non-halitosis</v>
      </c>
      <c r="O142" s="3" t="str">
        <f t="shared" si="16"/>
        <v>Clinical- / VSC-</v>
      </c>
      <c r="P142" s="5">
        <f t="shared" si="17"/>
        <v>2.8332133440562162</v>
      </c>
      <c r="Q142" s="5">
        <f t="shared" si="18"/>
        <v>2.7725887222397811</v>
      </c>
      <c r="R142" s="5">
        <f t="shared" si="18"/>
        <v>1.0986122886681098</v>
      </c>
      <c r="S142" s="5">
        <f t="shared" si="19"/>
        <v>0.11764705882352941</v>
      </c>
      <c r="T142" s="3">
        <f t="shared" si="20"/>
        <v>0</v>
      </c>
      <c r="U142" s="3" t="s">
        <v>79</v>
      </c>
      <c r="V142" s="3">
        <v>2</v>
      </c>
      <c r="W142" s="6">
        <v>6.4</v>
      </c>
      <c r="X142" s="4">
        <v>9</v>
      </c>
      <c r="Y142" s="5">
        <v>0.3</v>
      </c>
      <c r="Z142" s="5">
        <v>1.5</v>
      </c>
      <c r="AA142" s="3" t="s">
        <v>88</v>
      </c>
      <c r="AB142" s="3">
        <v>0</v>
      </c>
      <c r="AC142" s="3" t="s">
        <v>81</v>
      </c>
      <c r="AD142" s="3">
        <v>0</v>
      </c>
      <c r="AE142" s="3" t="s">
        <v>82</v>
      </c>
      <c r="AF142" s="3">
        <v>1</v>
      </c>
      <c r="AG142" s="3" t="s">
        <v>82</v>
      </c>
      <c r="AH142" s="3">
        <v>1</v>
      </c>
      <c r="AI142" s="3">
        <v>3</v>
      </c>
      <c r="AJ142" s="3">
        <v>1</v>
      </c>
      <c r="AK142" s="3">
        <v>0</v>
      </c>
      <c r="AL142" s="3">
        <v>0</v>
      </c>
      <c r="AM142" s="3">
        <v>0</v>
      </c>
      <c r="AN142" s="3">
        <v>0</v>
      </c>
      <c r="AO142" s="3">
        <v>1</v>
      </c>
      <c r="AP142" s="3">
        <v>0</v>
      </c>
      <c r="AQ142" s="3">
        <v>1</v>
      </c>
      <c r="AR142" s="3">
        <v>0</v>
      </c>
      <c r="AS142" s="3">
        <v>0</v>
      </c>
      <c r="AT142" s="3">
        <v>0</v>
      </c>
      <c r="AU142" s="3">
        <v>1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1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7" t="s">
        <v>492</v>
      </c>
      <c r="BX142" s="7" t="s">
        <v>493</v>
      </c>
    </row>
    <row r="143" spans="1:76">
      <c r="A143" s="3" t="s">
        <v>494</v>
      </c>
      <c r="B143" s="3">
        <v>3286</v>
      </c>
      <c r="C143" s="3" t="s">
        <v>495</v>
      </c>
      <c r="D143" s="3">
        <v>8</v>
      </c>
      <c r="E143" s="4">
        <v>60</v>
      </c>
      <c r="F143" s="3" t="s">
        <v>87</v>
      </c>
      <c r="G143" s="3">
        <v>0</v>
      </c>
      <c r="H143" s="3">
        <v>0</v>
      </c>
      <c r="I143" s="4">
        <v>1</v>
      </c>
      <c r="J143" s="4">
        <v>1</v>
      </c>
      <c r="K143" s="4">
        <v>2</v>
      </c>
      <c r="L143" s="5">
        <f>IF(F143="F",65.79,IF(F143="M",79.94,""))</f>
        <v>65.790000000000006</v>
      </c>
      <c r="M143" s="3">
        <f t="shared" si="14"/>
        <v>0</v>
      </c>
      <c r="N143" s="3" t="str">
        <f t="shared" si="15"/>
        <v>VSC-non-halitosis</v>
      </c>
      <c r="O143" s="3" t="str">
        <f t="shared" si="16"/>
        <v>Clinical- / VSC-</v>
      </c>
      <c r="P143" s="5">
        <f t="shared" si="17"/>
        <v>0.69314718055994529</v>
      </c>
      <c r="Q143" s="5">
        <f t="shared" si="18"/>
        <v>0.69314718055994529</v>
      </c>
      <c r="R143" s="5">
        <f t="shared" si="18"/>
        <v>0.69314718055994529</v>
      </c>
      <c r="S143" s="5">
        <f t="shared" si="19"/>
        <v>0.5</v>
      </c>
      <c r="T143" s="3">
        <f t="shared" si="20"/>
        <v>0</v>
      </c>
      <c r="U143" s="3" t="s">
        <v>102</v>
      </c>
      <c r="V143" s="3">
        <v>1</v>
      </c>
      <c r="W143" s="6">
        <v>6.6</v>
      </c>
      <c r="X143" s="4">
        <v>10</v>
      </c>
      <c r="Y143" s="5">
        <v>0.5</v>
      </c>
      <c r="Z143" s="5">
        <v>1.5</v>
      </c>
      <c r="AA143" s="3" t="s">
        <v>80</v>
      </c>
      <c r="AB143" s="3">
        <v>0</v>
      </c>
      <c r="AC143" s="3" t="s">
        <v>81</v>
      </c>
      <c r="AD143" s="3">
        <v>0</v>
      </c>
      <c r="AE143" s="3" t="s">
        <v>98</v>
      </c>
      <c r="AF143" s="3">
        <v>0</v>
      </c>
      <c r="AG143" s="3" t="s">
        <v>98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7" t="s">
        <v>119</v>
      </c>
      <c r="BX143" s="7" t="s">
        <v>496</v>
      </c>
    </row>
    <row r="144" spans="1:76">
      <c r="A144" s="3" t="s">
        <v>497</v>
      </c>
      <c r="B144" s="3">
        <v>5507</v>
      </c>
      <c r="C144" s="3" t="s">
        <v>495</v>
      </c>
      <c r="D144" s="3">
        <v>8</v>
      </c>
      <c r="E144" s="4">
        <v>60</v>
      </c>
      <c r="F144" s="3" t="s">
        <v>87</v>
      </c>
      <c r="G144" s="3">
        <v>0</v>
      </c>
      <c r="H144" s="3">
        <v>0</v>
      </c>
      <c r="I144" s="4">
        <v>1</v>
      </c>
      <c r="J144" s="4">
        <v>1</v>
      </c>
      <c r="K144" s="4">
        <v>2</v>
      </c>
      <c r="L144" s="5">
        <f>IF(F144="F",65.79,IF(F144="M",79.94,""))</f>
        <v>65.790000000000006</v>
      </c>
      <c r="M144" s="3">
        <f t="shared" si="14"/>
        <v>0</v>
      </c>
      <c r="N144" s="3" t="str">
        <f t="shared" si="15"/>
        <v>VSC-non-halitosis</v>
      </c>
      <c r="O144" s="3" t="str">
        <f t="shared" si="16"/>
        <v>Clinical- / VSC-</v>
      </c>
      <c r="P144" s="5">
        <f t="shared" si="17"/>
        <v>0.69314718055994529</v>
      </c>
      <c r="Q144" s="5">
        <f t="shared" si="18"/>
        <v>0.69314718055994529</v>
      </c>
      <c r="R144" s="5">
        <f t="shared" si="18"/>
        <v>0.69314718055994529</v>
      </c>
      <c r="S144" s="5">
        <f t="shared" si="19"/>
        <v>0.5</v>
      </c>
      <c r="T144" s="3">
        <f t="shared" si="20"/>
        <v>0</v>
      </c>
      <c r="U144" s="3" t="s">
        <v>102</v>
      </c>
      <c r="V144" s="3">
        <v>1</v>
      </c>
      <c r="W144" s="6">
        <v>6.6</v>
      </c>
      <c r="X144" s="4">
        <v>10</v>
      </c>
      <c r="Y144" s="5">
        <v>0.5</v>
      </c>
      <c r="Z144" s="5">
        <v>1.5</v>
      </c>
      <c r="AA144" s="3" t="s">
        <v>80</v>
      </c>
      <c r="AB144" s="3">
        <v>0</v>
      </c>
      <c r="AC144" s="3" t="s">
        <v>81</v>
      </c>
      <c r="AD144" s="3">
        <v>0</v>
      </c>
      <c r="AE144" s="3" t="s">
        <v>82</v>
      </c>
      <c r="AF144" s="3">
        <v>1</v>
      </c>
      <c r="AG144" s="3" t="s">
        <v>82</v>
      </c>
      <c r="AH144" s="3">
        <v>1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7"/>
      <c r="BX144" s="7" t="s">
        <v>498</v>
      </c>
    </row>
    <row r="145" spans="1:76">
      <c r="A145" s="3" t="s">
        <v>499</v>
      </c>
      <c r="B145" s="3">
        <v>3286</v>
      </c>
      <c r="C145" s="3" t="s">
        <v>495</v>
      </c>
      <c r="D145" s="3">
        <v>8</v>
      </c>
      <c r="E145" s="4">
        <v>60</v>
      </c>
      <c r="F145" s="3" t="s">
        <v>87</v>
      </c>
      <c r="G145" s="3">
        <v>0</v>
      </c>
      <c r="H145" s="3">
        <v>0</v>
      </c>
      <c r="I145" s="4">
        <v>1</v>
      </c>
      <c r="J145" s="4">
        <v>1</v>
      </c>
      <c r="K145" s="4">
        <v>2</v>
      </c>
      <c r="L145" s="5">
        <f>IF(F145="F",65.79,IF(F145="M",79.94,""))</f>
        <v>65.790000000000006</v>
      </c>
      <c r="M145" s="3">
        <f t="shared" si="14"/>
        <v>0</v>
      </c>
      <c r="N145" s="3" t="str">
        <f t="shared" si="15"/>
        <v>VSC-non-halitosis</v>
      </c>
      <c r="O145" s="3" t="str">
        <f t="shared" si="16"/>
        <v>Clinical- / VSC-</v>
      </c>
      <c r="P145" s="5">
        <f t="shared" si="17"/>
        <v>0.69314718055994529</v>
      </c>
      <c r="Q145" s="5">
        <f t="shared" si="18"/>
        <v>0.69314718055994529</v>
      </c>
      <c r="R145" s="5">
        <f t="shared" si="18"/>
        <v>0.69314718055994529</v>
      </c>
      <c r="S145" s="5">
        <f t="shared" si="19"/>
        <v>0.5</v>
      </c>
      <c r="T145" s="3">
        <f t="shared" si="20"/>
        <v>0</v>
      </c>
      <c r="U145" s="3" t="s">
        <v>102</v>
      </c>
      <c r="V145" s="3">
        <v>1</v>
      </c>
      <c r="W145" s="6">
        <v>6.4</v>
      </c>
      <c r="X145" s="4">
        <v>10</v>
      </c>
      <c r="Y145" s="5">
        <v>0.25</v>
      </c>
      <c r="Z145" s="5">
        <v>1</v>
      </c>
      <c r="AA145" s="3" t="s">
        <v>80</v>
      </c>
      <c r="AB145" s="3">
        <v>0</v>
      </c>
      <c r="AC145" s="3" t="s">
        <v>81</v>
      </c>
      <c r="AD145" s="3">
        <v>0</v>
      </c>
      <c r="AE145" s="3" t="s">
        <v>98</v>
      </c>
      <c r="AF145" s="3">
        <v>0</v>
      </c>
      <c r="AG145" s="3" t="s">
        <v>98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7" t="s">
        <v>119</v>
      </c>
      <c r="BX145" s="7" t="s">
        <v>496</v>
      </c>
    </row>
    <row r="146" spans="1:76">
      <c r="A146" s="3" t="s">
        <v>500</v>
      </c>
      <c r="B146" s="3">
        <v>5507</v>
      </c>
      <c r="C146" s="3" t="s">
        <v>495</v>
      </c>
      <c r="D146" s="3">
        <v>8</v>
      </c>
      <c r="E146" s="4">
        <v>60</v>
      </c>
      <c r="F146" s="3" t="s">
        <v>87</v>
      </c>
      <c r="G146" s="3">
        <v>0</v>
      </c>
      <c r="H146" s="3">
        <v>0</v>
      </c>
      <c r="I146" s="4">
        <v>1</v>
      </c>
      <c r="J146" s="4">
        <v>1</v>
      </c>
      <c r="K146" s="4">
        <v>2</v>
      </c>
      <c r="L146" s="5">
        <f>IF(F146="F",65.79,IF(F146="M",79.94,""))</f>
        <v>65.790000000000006</v>
      </c>
      <c r="M146" s="3">
        <f t="shared" si="14"/>
        <v>0</v>
      </c>
      <c r="N146" s="3" t="str">
        <f t="shared" si="15"/>
        <v>VSC-non-halitosis</v>
      </c>
      <c r="O146" s="3" t="str">
        <f t="shared" si="16"/>
        <v>Clinical- / VSC-</v>
      </c>
      <c r="P146" s="5">
        <f t="shared" si="17"/>
        <v>0.69314718055994529</v>
      </c>
      <c r="Q146" s="5">
        <f t="shared" si="18"/>
        <v>0.69314718055994529</v>
      </c>
      <c r="R146" s="5">
        <f t="shared" si="18"/>
        <v>0.69314718055994529</v>
      </c>
      <c r="S146" s="5">
        <f t="shared" si="19"/>
        <v>0.5</v>
      </c>
      <c r="T146" s="3">
        <f t="shared" si="20"/>
        <v>0</v>
      </c>
      <c r="U146" s="3" t="s">
        <v>102</v>
      </c>
      <c r="V146" s="3">
        <v>1</v>
      </c>
      <c r="W146" s="6">
        <v>6.4</v>
      </c>
      <c r="X146" s="4">
        <v>10</v>
      </c>
      <c r="Y146" s="5">
        <v>0.25</v>
      </c>
      <c r="Z146" s="5">
        <v>1</v>
      </c>
      <c r="AA146" s="3" t="s">
        <v>80</v>
      </c>
      <c r="AB146" s="3">
        <v>0</v>
      </c>
      <c r="AC146" s="3" t="s">
        <v>81</v>
      </c>
      <c r="AD146" s="3">
        <v>0</v>
      </c>
      <c r="AE146" s="3" t="s">
        <v>82</v>
      </c>
      <c r="AF146" s="3">
        <v>1</v>
      </c>
      <c r="AG146" s="3" t="s">
        <v>82</v>
      </c>
      <c r="AH146" s="3">
        <v>1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7"/>
      <c r="BX146" s="7" t="s">
        <v>498</v>
      </c>
    </row>
    <row r="147" spans="1:76">
      <c r="A147" s="3" t="s">
        <v>501</v>
      </c>
      <c r="B147" s="3">
        <v>3286</v>
      </c>
      <c r="C147" s="3" t="s">
        <v>495</v>
      </c>
      <c r="D147" s="3">
        <v>8</v>
      </c>
      <c r="E147" s="4">
        <v>63</v>
      </c>
      <c r="F147" s="3" t="s">
        <v>87</v>
      </c>
      <c r="G147" s="3">
        <v>0</v>
      </c>
      <c r="H147" s="3">
        <v>0</v>
      </c>
      <c r="I147" s="4">
        <v>4</v>
      </c>
      <c r="J147" s="4">
        <v>2</v>
      </c>
      <c r="K147" s="4">
        <v>6</v>
      </c>
      <c r="L147" s="5">
        <f>IF(F147="F",65.79,IF(F147="M",79.94,""))</f>
        <v>65.790000000000006</v>
      </c>
      <c r="M147" s="3">
        <f t="shared" si="14"/>
        <v>0</v>
      </c>
      <c r="N147" s="3" t="str">
        <f t="shared" si="15"/>
        <v>VSC-non-halitosis</v>
      </c>
      <c r="O147" s="3" t="str">
        <f t="shared" si="16"/>
        <v>Clinical- / VSC-</v>
      </c>
      <c r="P147" s="5">
        <f t="shared" si="17"/>
        <v>1.791759469228055</v>
      </c>
      <c r="Q147" s="5">
        <f t="shared" si="18"/>
        <v>1.6094379124341003</v>
      </c>
      <c r="R147" s="5">
        <f t="shared" si="18"/>
        <v>1.0986122886681098</v>
      </c>
      <c r="S147" s="5">
        <f t="shared" si="19"/>
        <v>0.33333333333333331</v>
      </c>
      <c r="T147" s="3">
        <f t="shared" si="20"/>
        <v>0</v>
      </c>
      <c r="U147" s="3" t="s">
        <v>79</v>
      </c>
      <c r="V147" s="3">
        <v>2</v>
      </c>
      <c r="W147" s="6">
        <v>6.6</v>
      </c>
      <c r="X147" s="4">
        <v>10</v>
      </c>
      <c r="Y147" s="5">
        <v>0.5</v>
      </c>
      <c r="Z147" s="5">
        <v>1.5</v>
      </c>
      <c r="AA147" s="3" t="s">
        <v>80</v>
      </c>
      <c r="AB147" s="3">
        <v>0</v>
      </c>
      <c r="AC147" s="3" t="s">
        <v>81</v>
      </c>
      <c r="AD147" s="3">
        <v>0</v>
      </c>
      <c r="AE147" s="3" t="s">
        <v>98</v>
      </c>
      <c r="AF147" s="3">
        <v>0</v>
      </c>
      <c r="AG147" s="3" t="s">
        <v>98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7" t="s">
        <v>119</v>
      </c>
      <c r="BX147" s="7" t="s">
        <v>496</v>
      </c>
    </row>
    <row r="148" spans="1:76">
      <c r="A148" s="3" t="s">
        <v>502</v>
      </c>
      <c r="B148" s="3">
        <v>5507</v>
      </c>
      <c r="C148" s="3" t="s">
        <v>495</v>
      </c>
      <c r="D148" s="3">
        <v>8</v>
      </c>
      <c r="E148" s="4">
        <v>63</v>
      </c>
      <c r="F148" s="3" t="s">
        <v>87</v>
      </c>
      <c r="G148" s="3">
        <v>0</v>
      </c>
      <c r="H148" s="3">
        <v>0</v>
      </c>
      <c r="I148" s="4">
        <v>4</v>
      </c>
      <c r="J148" s="4">
        <v>2</v>
      </c>
      <c r="K148" s="4">
        <v>6</v>
      </c>
      <c r="L148" s="5">
        <f>IF(F148="F",65.79,IF(F148="M",79.94,""))</f>
        <v>65.790000000000006</v>
      </c>
      <c r="M148" s="3">
        <f t="shared" si="14"/>
        <v>0</v>
      </c>
      <c r="N148" s="3" t="str">
        <f t="shared" si="15"/>
        <v>VSC-non-halitosis</v>
      </c>
      <c r="O148" s="3" t="str">
        <f t="shared" si="16"/>
        <v>Clinical- / VSC-</v>
      </c>
      <c r="P148" s="5">
        <f t="shared" si="17"/>
        <v>1.791759469228055</v>
      </c>
      <c r="Q148" s="5">
        <f t="shared" si="18"/>
        <v>1.6094379124341003</v>
      </c>
      <c r="R148" s="5">
        <f t="shared" si="18"/>
        <v>1.0986122886681098</v>
      </c>
      <c r="S148" s="5">
        <f t="shared" si="19"/>
        <v>0.33333333333333331</v>
      </c>
      <c r="T148" s="3">
        <f t="shared" si="20"/>
        <v>0</v>
      </c>
      <c r="U148" s="3" t="s">
        <v>79</v>
      </c>
      <c r="V148" s="3">
        <v>2</v>
      </c>
      <c r="W148" s="6">
        <v>6.6</v>
      </c>
      <c r="X148" s="4">
        <v>10</v>
      </c>
      <c r="Y148" s="5">
        <v>0.5</v>
      </c>
      <c r="Z148" s="5">
        <v>1.5</v>
      </c>
      <c r="AA148" s="3" t="s">
        <v>80</v>
      </c>
      <c r="AB148" s="3">
        <v>0</v>
      </c>
      <c r="AC148" s="3" t="s">
        <v>81</v>
      </c>
      <c r="AD148" s="3">
        <v>0</v>
      </c>
      <c r="AE148" s="3" t="s">
        <v>82</v>
      </c>
      <c r="AF148" s="3">
        <v>1</v>
      </c>
      <c r="AG148" s="3" t="s">
        <v>82</v>
      </c>
      <c r="AH148" s="3">
        <v>1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7"/>
      <c r="BX148" s="7" t="s">
        <v>498</v>
      </c>
    </row>
    <row r="149" spans="1:76">
      <c r="A149" s="3" t="s">
        <v>503</v>
      </c>
      <c r="B149" s="3">
        <v>3286</v>
      </c>
      <c r="C149" s="3" t="s">
        <v>495</v>
      </c>
      <c r="D149" s="3">
        <v>8</v>
      </c>
      <c r="E149" s="4">
        <v>63</v>
      </c>
      <c r="F149" s="3" t="s">
        <v>87</v>
      </c>
      <c r="G149" s="3">
        <v>0</v>
      </c>
      <c r="H149" s="3">
        <v>0</v>
      </c>
      <c r="I149" s="4">
        <v>4</v>
      </c>
      <c r="J149" s="4">
        <v>2</v>
      </c>
      <c r="K149" s="4">
        <v>6</v>
      </c>
      <c r="L149" s="5">
        <f>IF(F149="F",65.79,IF(F149="M",79.94,""))</f>
        <v>65.790000000000006</v>
      </c>
      <c r="M149" s="3">
        <f t="shared" si="14"/>
        <v>0</v>
      </c>
      <c r="N149" s="3" t="str">
        <f t="shared" si="15"/>
        <v>VSC-non-halitosis</v>
      </c>
      <c r="O149" s="3" t="str">
        <f t="shared" si="16"/>
        <v>Clinical- / VSC-</v>
      </c>
      <c r="P149" s="5">
        <f t="shared" si="17"/>
        <v>1.791759469228055</v>
      </c>
      <c r="Q149" s="5">
        <f t="shared" si="18"/>
        <v>1.6094379124341003</v>
      </c>
      <c r="R149" s="5">
        <f t="shared" si="18"/>
        <v>1.0986122886681098</v>
      </c>
      <c r="S149" s="5">
        <f t="shared" si="19"/>
        <v>0.33333333333333331</v>
      </c>
      <c r="T149" s="3">
        <f t="shared" si="20"/>
        <v>0</v>
      </c>
      <c r="U149" s="3" t="s">
        <v>79</v>
      </c>
      <c r="V149" s="3">
        <v>2</v>
      </c>
      <c r="W149" s="6">
        <v>6.4</v>
      </c>
      <c r="X149" s="4">
        <v>10</v>
      </c>
      <c r="Y149" s="5">
        <v>0.25</v>
      </c>
      <c r="Z149" s="5">
        <v>1</v>
      </c>
      <c r="AA149" s="3" t="s">
        <v>80</v>
      </c>
      <c r="AB149" s="3">
        <v>0</v>
      </c>
      <c r="AC149" s="3" t="s">
        <v>81</v>
      </c>
      <c r="AD149" s="3">
        <v>0</v>
      </c>
      <c r="AE149" s="3" t="s">
        <v>98</v>
      </c>
      <c r="AF149" s="3">
        <v>0</v>
      </c>
      <c r="AG149" s="3" t="s">
        <v>98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7" t="s">
        <v>119</v>
      </c>
      <c r="BX149" s="7" t="s">
        <v>496</v>
      </c>
    </row>
    <row r="150" spans="1:76">
      <c r="A150" s="3" t="s">
        <v>504</v>
      </c>
      <c r="B150" s="3">
        <v>5507</v>
      </c>
      <c r="C150" s="3" t="s">
        <v>495</v>
      </c>
      <c r="D150" s="3">
        <v>8</v>
      </c>
      <c r="E150" s="4">
        <v>63</v>
      </c>
      <c r="F150" s="3" t="s">
        <v>87</v>
      </c>
      <c r="G150" s="3">
        <v>0</v>
      </c>
      <c r="H150" s="3">
        <v>0</v>
      </c>
      <c r="I150" s="4">
        <v>4</v>
      </c>
      <c r="J150" s="4">
        <v>2</v>
      </c>
      <c r="K150" s="4">
        <v>6</v>
      </c>
      <c r="L150" s="5">
        <f>IF(F150="F",65.79,IF(F150="M",79.94,""))</f>
        <v>65.790000000000006</v>
      </c>
      <c r="M150" s="3">
        <f t="shared" si="14"/>
        <v>0</v>
      </c>
      <c r="N150" s="3" t="str">
        <f t="shared" si="15"/>
        <v>VSC-non-halitosis</v>
      </c>
      <c r="O150" s="3" t="str">
        <f t="shared" si="16"/>
        <v>Clinical- / VSC-</v>
      </c>
      <c r="P150" s="5">
        <f t="shared" si="17"/>
        <v>1.791759469228055</v>
      </c>
      <c r="Q150" s="5">
        <f t="shared" si="18"/>
        <v>1.6094379124341003</v>
      </c>
      <c r="R150" s="5">
        <f t="shared" si="18"/>
        <v>1.0986122886681098</v>
      </c>
      <c r="S150" s="5">
        <f t="shared" si="19"/>
        <v>0.33333333333333331</v>
      </c>
      <c r="T150" s="3">
        <f t="shared" si="20"/>
        <v>0</v>
      </c>
      <c r="U150" s="3" t="s">
        <v>79</v>
      </c>
      <c r="V150" s="3">
        <v>2</v>
      </c>
      <c r="W150" s="6">
        <v>6.4</v>
      </c>
      <c r="X150" s="4">
        <v>10</v>
      </c>
      <c r="Y150" s="5">
        <v>0.25</v>
      </c>
      <c r="Z150" s="5">
        <v>1</v>
      </c>
      <c r="AA150" s="3" t="s">
        <v>80</v>
      </c>
      <c r="AB150" s="3">
        <v>0</v>
      </c>
      <c r="AC150" s="3" t="s">
        <v>81</v>
      </c>
      <c r="AD150" s="3">
        <v>0</v>
      </c>
      <c r="AE150" s="3" t="s">
        <v>82</v>
      </c>
      <c r="AF150" s="3">
        <v>1</v>
      </c>
      <c r="AG150" s="3" t="s">
        <v>82</v>
      </c>
      <c r="AH150" s="3">
        <v>1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7"/>
      <c r="BX150" s="7" t="s">
        <v>498</v>
      </c>
    </row>
    <row r="151" spans="1:76">
      <c r="A151" s="3" t="s">
        <v>505</v>
      </c>
      <c r="B151" s="3">
        <v>3163</v>
      </c>
      <c r="C151" s="3" t="s">
        <v>506</v>
      </c>
      <c r="D151" s="3">
        <v>1</v>
      </c>
      <c r="E151" s="4">
        <v>56</v>
      </c>
      <c r="F151" s="3" t="s">
        <v>87</v>
      </c>
      <c r="G151" s="3">
        <v>0</v>
      </c>
      <c r="H151" s="3">
        <v>0</v>
      </c>
      <c r="I151" s="4">
        <v>141</v>
      </c>
      <c r="J151" s="4">
        <v>126</v>
      </c>
      <c r="K151" s="4">
        <v>267</v>
      </c>
      <c r="L151" s="5">
        <f>IF(F151="F",65.79,IF(F151="M",79.94,""))</f>
        <v>65.790000000000006</v>
      </c>
      <c r="M151" s="3">
        <f t="shared" si="14"/>
        <v>1</v>
      </c>
      <c r="N151" s="3" t="str">
        <f t="shared" si="15"/>
        <v>VSC-halitosis</v>
      </c>
      <c r="O151" s="3" t="str">
        <f t="shared" si="16"/>
        <v>Clinical- / VSC+</v>
      </c>
      <c r="P151" s="5">
        <f t="shared" si="17"/>
        <v>5.5872486584002496</v>
      </c>
      <c r="Q151" s="5">
        <f t="shared" si="18"/>
        <v>4.9558270576012609</v>
      </c>
      <c r="R151" s="5">
        <f t="shared" si="18"/>
        <v>4.8441870864585912</v>
      </c>
      <c r="S151" s="5">
        <f t="shared" si="19"/>
        <v>0.47191011235955055</v>
      </c>
      <c r="T151" s="3">
        <f t="shared" si="20"/>
        <v>0</v>
      </c>
      <c r="U151" s="3" t="s">
        <v>96</v>
      </c>
      <c r="V151" s="3">
        <v>3</v>
      </c>
      <c r="W151" s="6">
        <v>7</v>
      </c>
      <c r="X151" s="4">
        <v>10</v>
      </c>
      <c r="Y151" s="5">
        <v>0.3</v>
      </c>
      <c r="Z151" s="5">
        <v>0.8</v>
      </c>
      <c r="AA151" s="3" t="s">
        <v>80</v>
      </c>
      <c r="AB151" s="3">
        <v>0</v>
      </c>
      <c r="AC151" s="3" t="s">
        <v>113</v>
      </c>
      <c r="AD151" s="3">
        <v>0</v>
      </c>
      <c r="AE151" s="3" t="s">
        <v>82</v>
      </c>
      <c r="AF151" s="3">
        <v>1</v>
      </c>
      <c r="AG151" s="3" t="s">
        <v>98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7" t="s">
        <v>119</v>
      </c>
      <c r="BX151" s="7" t="s">
        <v>119</v>
      </c>
    </row>
    <row r="152" spans="1:76">
      <c r="A152" s="3" t="s">
        <v>507</v>
      </c>
      <c r="B152" s="3">
        <v>6217</v>
      </c>
      <c r="C152" s="3" t="s">
        <v>508</v>
      </c>
      <c r="D152" s="3">
        <v>2</v>
      </c>
      <c r="E152" s="4">
        <v>65</v>
      </c>
      <c r="F152" s="3" t="s">
        <v>87</v>
      </c>
      <c r="G152" s="3">
        <v>0</v>
      </c>
      <c r="H152" s="3">
        <v>0</v>
      </c>
      <c r="I152" s="4">
        <v>1</v>
      </c>
      <c r="J152" s="4">
        <v>0</v>
      </c>
      <c r="K152" s="4">
        <v>1</v>
      </c>
      <c r="L152" s="5">
        <f>IF(F152="F",65.79,IF(F152="M",79.94,""))</f>
        <v>65.790000000000006</v>
      </c>
      <c r="M152" s="3">
        <f t="shared" si="14"/>
        <v>0</v>
      </c>
      <c r="N152" s="3" t="str">
        <f t="shared" si="15"/>
        <v>VSC-non-halitosis</v>
      </c>
      <c r="O152" s="3" t="str">
        <f t="shared" si="16"/>
        <v>Clinical- / VSC-</v>
      </c>
      <c r="P152" s="5">
        <f t="shared" si="17"/>
        <v>0</v>
      </c>
      <c r="Q152" s="5">
        <f t="shared" si="18"/>
        <v>0.69314718055994529</v>
      </c>
      <c r="R152" s="5">
        <f t="shared" si="18"/>
        <v>0</v>
      </c>
      <c r="S152" s="5">
        <f t="shared" si="19"/>
        <v>0</v>
      </c>
      <c r="T152" s="3">
        <f t="shared" si="20"/>
        <v>0</v>
      </c>
      <c r="U152" s="3" t="s">
        <v>102</v>
      </c>
      <c r="V152" s="3">
        <v>1</v>
      </c>
      <c r="W152" s="6">
        <v>7</v>
      </c>
      <c r="X152" s="4">
        <v>11</v>
      </c>
      <c r="Y152" s="5">
        <v>0.1</v>
      </c>
      <c r="Z152" s="5">
        <v>0.6</v>
      </c>
      <c r="AA152" s="3" t="s">
        <v>80</v>
      </c>
      <c r="AB152" s="3">
        <v>0</v>
      </c>
      <c r="AC152" s="3" t="s">
        <v>81</v>
      </c>
      <c r="AD152" s="3">
        <v>0</v>
      </c>
      <c r="AE152" s="3" t="s">
        <v>82</v>
      </c>
      <c r="AF152" s="3">
        <v>1</v>
      </c>
      <c r="AG152" s="3" t="s">
        <v>82</v>
      </c>
      <c r="AH152" s="3">
        <v>1</v>
      </c>
      <c r="AI152" s="3">
        <v>3</v>
      </c>
      <c r="AJ152" s="3">
        <v>0</v>
      </c>
      <c r="AK152" s="3">
        <v>0</v>
      </c>
      <c r="AL152" s="3">
        <v>1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1</v>
      </c>
      <c r="AY152" s="3">
        <v>0</v>
      </c>
      <c r="AZ152" s="3">
        <v>1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7" t="s">
        <v>509</v>
      </c>
      <c r="BX152" s="7" t="s">
        <v>510</v>
      </c>
    </row>
    <row r="153" spans="1:76">
      <c r="A153" s="3" t="s">
        <v>511</v>
      </c>
      <c r="B153" s="3">
        <v>6217</v>
      </c>
      <c r="C153" s="3" t="s">
        <v>508</v>
      </c>
      <c r="D153" s="3">
        <v>2</v>
      </c>
      <c r="E153" s="4">
        <v>65</v>
      </c>
      <c r="F153" s="3" t="s">
        <v>87</v>
      </c>
      <c r="G153" s="3">
        <v>0</v>
      </c>
      <c r="H153" s="3">
        <v>0</v>
      </c>
      <c r="I153" s="4">
        <v>1</v>
      </c>
      <c r="J153" s="4">
        <v>0</v>
      </c>
      <c r="K153" s="4">
        <v>1</v>
      </c>
      <c r="L153" s="5">
        <f>IF(F153="F",65.79,IF(F153="M",79.94,""))</f>
        <v>65.790000000000006</v>
      </c>
      <c r="M153" s="3">
        <f t="shared" si="14"/>
        <v>0</v>
      </c>
      <c r="N153" s="3" t="str">
        <f t="shared" si="15"/>
        <v>VSC-non-halitosis</v>
      </c>
      <c r="O153" s="3" t="str">
        <f t="shared" si="16"/>
        <v>Clinical- / VSC-</v>
      </c>
      <c r="P153" s="5">
        <f t="shared" si="17"/>
        <v>0</v>
      </c>
      <c r="Q153" s="5">
        <f t="shared" si="18"/>
        <v>0.69314718055994529</v>
      </c>
      <c r="R153" s="5">
        <f t="shared" si="18"/>
        <v>0</v>
      </c>
      <c r="S153" s="5">
        <f t="shared" si="19"/>
        <v>0</v>
      </c>
      <c r="T153" s="3">
        <f t="shared" si="20"/>
        <v>0</v>
      </c>
      <c r="U153" s="3" t="s">
        <v>102</v>
      </c>
      <c r="V153" s="3">
        <v>1</v>
      </c>
      <c r="W153" s="6"/>
      <c r="X153" s="4"/>
      <c r="Y153" s="5">
        <v>0.3</v>
      </c>
      <c r="Z153" s="5">
        <v>1.5</v>
      </c>
      <c r="AA153" s="3" t="s">
        <v>80</v>
      </c>
      <c r="AB153" s="3">
        <v>0</v>
      </c>
      <c r="AC153" s="3" t="s">
        <v>81</v>
      </c>
      <c r="AD153" s="3">
        <v>0</v>
      </c>
      <c r="AE153" s="3" t="s">
        <v>82</v>
      </c>
      <c r="AF153" s="3">
        <v>1</v>
      </c>
      <c r="AG153" s="3" t="s">
        <v>82</v>
      </c>
      <c r="AH153" s="3">
        <v>1</v>
      </c>
      <c r="AI153" s="3">
        <v>3</v>
      </c>
      <c r="AJ153" s="3">
        <v>0</v>
      </c>
      <c r="AK153" s="3">
        <v>0</v>
      </c>
      <c r="AL153" s="3">
        <v>1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1</v>
      </c>
      <c r="AY153" s="3">
        <v>0</v>
      </c>
      <c r="AZ153" s="3">
        <v>1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7" t="s">
        <v>509</v>
      </c>
      <c r="BX153" s="7" t="s">
        <v>510</v>
      </c>
    </row>
    <row r="154" spans="1:76">
      <c r="A154" s="3" t="s">
        <v>512</v>
      </c>
      <c r="B154" s="3">
        <v>4440</v>
      </c>
      <c r="C154" s="3" t="s">
        <v>513</v>
      </c>
      <c r="D154" s="3">
        <v>1</v>
      </c>
      <c r="E154" s="4">
        <v>42</v>
      </c>
      <c r="F154" s="3" t="s">
        <v>87</v>
      </c>
      <c r="G154" s="3">
        <v>0</v>
      </c>
      <c r="H154" s="3">
        <v>1</v>
      </c>
      <c r="I154" s="4">
        <v>0.03</v>
      </c>
      <c r="J154" s="4">
        <v>0.02</v>
      </c>
      <c r="K154" s="4">
        <v>0.05</v>
      </c>
      <c r="L154" s="5">
        <f>IF(F154="F",65.79,IF(F154="M",79.94,""))</f>
        <v>65.790000000000006</v>
      </c>
      <c r="M154" s="3">
        <f t="shared" si="14"/>
        <v>0</v>
      </c>
      <c r="N154" s="3" t="str">
        <f t="shared" si="15"/>
        <v>VSC-non-halitosis</v>
      </c>
      <c r="O154" s="3" t="str">
        <f t="shared" si="16"/>
        <v>Clinical- / VSC-</v>
      </c>
      <c r="P154" s="5">
        <f t="shared" si="17"/>
        <v>-2.9957322735539909</v>
      </c>
      <c r="Q154" s="5">
        <f t="shared" si="18"/>
        <v>2.9558802241544429E-2</v>
      </c>
      <c r="R154" s="5">
        <f t="shared" si="18"/>
        <v>1.980262729617973E-2</v>
      </c>
      <c r="S154" s="5">
        <f t="shared" si="19"/>
        <v>0.39999999999999997</v>
      </c>
      <c r="T154" s="3">
        <f t="shared" si="20"/>
        <v>0</v>
      </c>
      <c r="U154" s="3" t="s">
        <v>102</v>
      </c>
      <c r="V154" s="3">
        <v>1</v>
      </c>
      <c r="W154" s="6">
        <v>5.8</v>
      </c>
      <c r="X154" s="4">
        <v>10</v>
      </c>
      <c r="Y154" s="5">
        <v>0.3</v>
      </c>
      <c r="Z154" s="5">
        <v>1.5</v>
      </c>
      <c r="AA154" s="3" t="s">
        <v>88</v>
      </c>
      <c r="AB154" s="3">
        <v>0</v>
      </c>
      <c r="AC154" s="3" t="s">
        <v>81</v>
      </c>
      <c r="AD154" s="3">
        <v>0</v>
      </c>
      <c r="AE154" s="3" t="s">
        <v>82</v>
      </c>
      <c r="AF154" s="3">
        <v>1</v>
      </c>
      <c r="AG154" s="3" t="s">
        <v>98</v>
      </c>
      <c r="AH154" s="3">
        <v>0</v>
      </c>
      <c r="AI154" s="3">
        <v>1</v>
      </c>
      <c r="AJ154" s="3">
        <v>1</v>
      </c>
      <c r="AK154" s="3">
        <v>0</v>
      </c>
      <c r="AL154" s="3">
        <v>0</v>
      </c>
      <c r="AM154" s="3">
        <v>0</v>
      </c>
      <c r="AN154" s="3">
        <v>1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1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7"/>
      <c r="BX154" s="7" t="s">
        <v>397</v>
      </c>
    </row>
    <row r="155" spans="1:76" ht="34">
      <c r="A155" s="3" t="s">
        <v>514</v>
      </c>
      <c r="B155" s="3">
        <v>4302</v>
      </c>
      <c r="C155" s="3" t="s">
        <v>515</v>
      </c>
      <c r="D155" s="3">
        <v>1</v>
      </c>
      <c r="E155" s="4">
        <v>61</v>
      </c>
      <c r="F155" s="3" t="s">
        <v>87</v>
      </c>
      <c r="G155" s="3">
        <v>0</v>
      </c>
      <c r="H155" s="3">
        <v>0</v>
      </c>
      <c r="I155" s="4">
        <v>26</v>
      </c>
      <c r="J155" s="4">
        <v>3</v>
      </c>
      <c r="K155" s="4">
        <v>29</v>
      </c>
      <c r="L155" s="5">
        <f>IF(F155="F",65.79,IF(F155="M",79.94,""))</f>
        <v>65.790000000000006</v>
      </c>
      <c r="M155" s="3">
        <f t="shared" si="14"/>
        <v>0</v>
      </c>
      <c r="N155" s="3" t="str">
        <f t="shared" si="15"/>
        <v>VSC-non-halitosis</v>
      </c>
      <c r="O155" s="3" t="str">
        <f t="shared" si="16"/>
        <v>Clinical- / VSC-</v>
      </c>
      <c r="P155" s="5">
        <f t="shared" si="17"/>
        <v>3.3672958299864741</v>
      </c>
      <c r="Q155" s="5">
        <f t="shared" si="18"/>
        <v>3.2958368660043291</v>
      </c>
      <c r="R155" s="5">
        <f t="shared" si="18"/>
        <v>1.3862943611198906</v>
      </c>
      <c r="S155" s="5">
        <f t="shared" si="19"/>
        <v>0.10344827586206896</v>
      </c>
      <c r="T155" s="3">
        <f t="shared" si="20"/>
        <v>0</v>
      </c>
      <c r="U155" s="3" t="s">
        <v>96</v>
      </c>
      <c r="V155" s="3">
        <v>3</v>
      </c>
      <c r="W155" s="6">
        <v>5</v>
      </c>
      <c r="X155" s="4">
        <v>0</v>
      </c>
      <c r="Y155" s="5">
        <v>0.4</v>
      </c>
      <c r="Z155" s="5">
        <v>1</v>
      </c>
      <c r="AA155" s="3" t="s">
        <v>88</v>
      </c>
      <c r="AB155" s="3">
        <v>0</v>
      </c>
      <c r="AC155" s="3" t="s">
        <v>81</v>
      </c>
      <c r="AD155" s="3">
        <v>0</v>
      </c>
      <c r="AE155" s="3" t="s">
        <v>98</v>
      </c>
      <c r="AF155" s="3">
        <v>0</v>
      </c>
      <c r="AG155" s="3" t="s">
        <v>82</v>
      </c>
      <c r="AH155" s="3">
        <v>1</v>
      </c>
      <c r="AI155" s="3">
        <v>1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1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7"/>
      <c r="BX155" s="7" t="s">
        <v>516</v>
      </c>
    </row>
    <row r="156" spans="1:76">
      <c r="A156" s="3" t="s">
        <v>517</v>
      </c>
      <c r="B156" s="3">
        <v>4606</v>
      </c>
      <c r="C156" s="3" t="s">
        <v>518</v>
      </c>
      <c r="D156" s="3">
        <v>1</v>
      </c>
      <c r="E156" s="4">
        <v>59</v>
      </c>
      <c r="F156" s="3" t="s">
        <v>87</v>
      </c>
      <c r="G156" s="3">
        <v>0</v>
      </c>
      <c r="H156" s="3">
        <v>0</v>
      </c>
      <c r="I156" s="4">
        <v>2</v>
      </c>
      <c r="J156" s="4">
        <v>0</v>
      </c>
      <c r="K156" s="4">
        <v>2</v>
      </c>
      <c r="L156" s="5">
        <f>IF(F156="F",65.79,IF(F156="M",79.94,""))</f>
        <v>65.790000000000006</v>
      </c>
      <c r="M156" s="3">
        <f t="shared" si="14"/>
        <v>0</v>
      </c>
      <c r="N156" s="3" t="str">
        <f t="shared" si="15"/>
        <v>VSC-non-halitosis</v>
      </c>
      <c r="O156" s="3" t="str">
        <f t="shared" si="16"/>
        <v>Clinical- / VSC-</v>
      </c>
      <c r="P156" s="5">
        <f t="shared" si="17"/>
        <v>0.69314718055994529</v>
      </c>
      <c r="Q156" s="5">
        <f t="shared" si="18"/>
        <v>1.0986122886681098</v>
      </c>
      <c r="R156" s="5">
        <f t="shared" si="18"/>
        <v>0</v>
      </c>
      <c r="S156" s="5">
        <f t="shared" si="19"/>
        <v>0</v>
      </c>
      <c r="T156" s="3">
        <f t="shared" si="20"/>
        <v>0</v>
      </c>
      <c r="U156" s="3" t="s">
        <v>102</v>
      </c>
      <c r="V156" s="3">
        <v>1</v>
      </c>
      <c r="W156" s="6"/>
      <c r="X156" s="4">
        <v>6</v>
      </c>
      <c r="Y156" s="5">
        <v>0.4</v>
      </c>
      <c r="Z156" s="5">
        <v>1</v>
      </c>
      <c r="AA156" s="3" t="s">
        <v>88</v>
      </c>
      <c r="AB156" s="3">
        <v>0</v>
      </c>
      <c r="AC156" s="3" t="s">
        <v>113</v>
      </c>
      <c r="AD156" s="3">
        <v>0</v>
      </c>
      <c r="AE156" s="3" t="s">
        <v>82</v>
      </c>
      <c r="AF156" s="3">
        <v>1</v>
      </c>
      <c r="AG156" s="3" t="s">
        <v>82</v>
      </c>
      <c r="AH156" s="3">
        <v>1</v>
      </c>
      <c r="AI156" s="3">
        <v>1</v>
      </c>
      <c r="AJ156" s="3">
        <v>1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1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1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7"/>
      <c r="BX156" s="7" t="s">
        <v>519</v>
      </c>
    </row>
    <row r="157" spans="1:76">
      <c r="A157" s="3" t="s">
        <v>520</v>
      </c>
      <c r="B157" s="3">
        <v>6404</v>
      </c>
      <c r="C157" s="3" t="s">
        <v>521</v>
      </c>
      <c r="D157" s="3">
        <v>1</v>
      </c>
      <c r="E157" s="4">
        <v>40</v>
      </c>
      <c r="F157" s="3" t="s">
        <v>87</v>
      </c>
      <c r="G157" s="3">
        <v>0</v>
      </c>
      <c r="H157" s="3">
        <v>0</v>
      </c>
      <c r="I157" s="4">
        <v>2</v>
      </c>
      <c r="J157" s="4">
        <v>0</v>
      </c>
      <c r="K157" s="4">
        <v>2</v>
      </c>
      <c r="L157" s="5">
        <f>IF(F157="F",65.79,IF(F157="M",79.94,""))</f>
        <v>65.790000000000006</v>
      </c>
      <c r="M157" s="3">
        <f t="shared" si="14"/>
        <v>0</v>
      </c>
      <c r="N157" s="3" t="str">
        <f t="shared" si="15"/>
        <v>VSC-non-halitosis</v>
      </c>
      <c r="O157" s="3" t="str">
        <f t="shared" si="16"/>
        <v>Clinical- / VSC-</v>
      </c>
      <c r="P157" s="5">
        <f t="shared" si="17"/>
        <v>0.69314718055994529</v>
      </c>
      <c r="Q157" s="5">
        <f t="shared" si="18"/>
        <v>1.0986122886681098</v>
      </c>
      <c r="R157" s="5">
        <f t="shared" si="18"/>
        <v>0</v>
      </c>
      <c r="S157" s="5">
        <f t="shared" si="19"/>
        <v>0</v>
      </c>
      <c r="T157" s="3">
        <f t="shared" si="20"/>
        <v>0</v>
      </c>
      <c r="U157" s="3" t="s">
        <v>102</v>
      </c>
      <c r="V157" s="3">
        <v>1</v>
      </c>
      <c r="W157" s="6">
        <v>6.8</v>
      </c>
      <c r="X157" s="4">
        <v>10</v>
      </c>
      <c r="Y157" s="5">
        <v>0.4</v>
      </c>
      <c r="Z157" s="5">
        <v>1.5</v>
      </c>
      <c r="AA157" s="3" t="s">
        <v>108</v>
      </c>
      <c r="AB157" s="3">
        <v>1</v>
      </c>
      <c r="AC157" s="3" t="s">
        <v>113</v>
      </c>
      <c r="AD157" s="3">
        <v>0</v>
      </c>
      <c r="AE157" s="3" t="s">
        <v>98</v>
      </c>
      <c r="AF157" s="3">
        <v>0</v>
      </c>
      <c r="AG157" s="3" t="s">
        <v>82</v>
      </c>
      <c r="AH157" s="3">
        <v>1</v>
      </c>
      <c r="AI157" s="3">
        <v>0</v>
      </c>
      <c r="AJ157" s="3">
        <v>1</v>
      </c>
      <c r="AK157" s="3">
        <v>1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1</v>
      </c>
      <c r="BS157" s="3">
        <v>0</v>
      </c>
      <c r="BT157" s="3">
        <v>0</v>
      </c>
      <c r="BU157" s="3">
        <v>0</v>
      </c>
      <c r="BV157" s="3">
        <v>0</v>
      </c>
      <c r="BW157" s="7" t="s">
        <v>159</v>
      </c>
      <c r="BX157" s="7" t="s">
        <v>522</v>
      </c>
    </row>
    <row r="158" spans="1:76">
      <c r="A158" s="3" t="s">
        <v>523</v>
      </c>
      <c r="B158" s="3">
        <v>5036</v>
      </c>
      <c r="C158" s="3" t="s">
        <v>524</v>
      </c>
      <c r="D158" s="3">
        <v>1</v>
      </c>
      <c r="E158" s="4">
        <v>71</v>
      </c>
      <c r="F158" s="3" t="s">
        <v>87</v>
      </c>
      <c r="G158" s="3">
        <v>0</v>
      </c>
      <c r="H158" s="3">
        <v>0</v>
      </c>
      <c r="I158" s="4">
        <v>815</v>
      </c>
      <c r="J158" s="4">
        <v>87</v>
      </c>
      <c r="K158" s="4">
        <v>902</v>
      </c>
      <c r="L158" s="5">
        <f>IF(F158="F",65.79,IF(F158="M",79.94,""))</f>
        <v>65.790000000000006</v>
      </c>
      <c r="M158" s="3">
        <f t="shared" si="14"/>
        <v>1</v>
      </c>
      <c r="N158" s="3" t="str">
        <f t="shared" si="15"/>
        <v>VSC-halitosis</v>
      </c>
      <c r="O158" s="3" t="str">
        <f t="shared" si="16"/>
        <v>Clinical- / VSC+</v>
      </c>
      <c r="P158" s="5">
        <f t="shared" si="17"/>
        <v>6.804614520062624</v>
      </c>
      <c r="Q158" s="5">
        <f t="shared" si="18"/>
        <v>6.7044143549641069</v>
      </c>
      <c r="R158" s="5">
        <f t="shared" si="18"/>
        <v>4.4773368144782069</v>
      </c>
      <c r="S158" s="5">
        <f t="shared" si="19"/>
        <v>9.6452328159645231E-2</v>
      </c>
      <c r="T158" s="3">
        <f t="shared" si="20"/>
        <v>0</v>
      </c>
      <c r="U158" s="3" t="s">
        <v>96</v>
      </c>
      <c r="V158" s="3">
        <v>3</v>
      </c>
      <c r="W158" s="6">
        <v>6.2</v>
      </c>
      <c r="X158" s="4">
        <v>10</v>
      </c>
      <c r="Y158" s="5">
        <v>0.3</v>
      </c>
      <c r="Z158" s="5">
        <v>1</v>
      </c>
      <c r="AA158" s="3" t="s">
        <v>88</v>
      </c>
      <c r="AB158" s="3">
        <v>0</v>
      </c>
      <c r="AC158" s="3" t="s">
        <v>81</v>
      </c>
      <c r="AD158" s="3">
        <v>0</v>
      </c>
      <c r="AE158" s="3" t="s">
        <v>98</v>
      </c>
      <c r="AF158" s="3">
        <v>0</v>
      </c>
      <c r="AG158" s="3" t="s">
        <v>82</v>
      </c>
      <c r="AH158" s="3">
        <v>1</v>
      </c>
      <c r="AI158" s="3">
        <v>2</v>
      </c>
      <c r="AJ158" s="3">
        <v>2</v>
      </c>
      <c r="AK158" s="3">
        <v>1</v>
      </c>
      <c r="AL158" s="3">
        <v>1</v>
      </c>
      <c r="AM158" s="3">
        <v>0</v>
      </c>
      <c r="AN158" s="3">
        <v>1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1</v>
      </c>
      <c r="BG158" s="3">
        <v>0</v>
      </c>
      <c r="BH158" s="3">
        <v>0</v>
      </c>
      <c r="BI158" s="3">
        <v>0</v>
      </c>
      <c r="BJ158" s="3">
        <v>1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7" t="s">
        <v>186</v>
      </c>
      <c r="BX158" s="7" t="s">
        <v>525</v>
      </c>
    </row>
    <row r="159" spans="1:76">
      <c r="A159" s="3" t="s">
        <v>526</v>
      </c>
      <c r="B159" s="3">
        <v>5520</v>
      </c>
      <c r="C159" s="3" t="s">
        <v>527</v>
      </c>
      <c r="D159" s="3">
        <v>2</v>
      </c>
      <c r="E159" s="4">
        <v>34</v>
      </c>
      <c r="F159" s="3" t="s">
        <v>87</v>
      </c>
      <c r="G159" s="3">
        <v>0</v>
      </c>
      <c r="H159" s="3">
        <v>1</v>
      </c>
      <c r="I159" s="4">
        <v>1</v>
      </c>
      <c r="J159" s="4">
        <v>0</v>
      </c>
      <c r="K159" s="4">
        <v>1</v>
      </c>
      <c r="L159" s="5">
        <f>IF(F159="F",65.79,IF(F159="M",79.94,""))</f>
        <v>65.790000000000006</v>
      </c>
      <c r="M159" s="3">
        <f t="shared" si="14"/>
        <v>0</v>
      </c>
      <c r="N159" s="3" t="str">
        <f t="shared" si="15"/>
        <v>VSC-non-halitosis</v>
      </c>
      <c r="O159" s="3" t="str">
        <f t="shared" si="16"/>
        <v>Clinical- / VSC-</v>
      </c>
      <c r="P159" s="5">
        <f t="shared" si="17"/>
        <v>0</v>
      </c>
      <c r="Q159" s="5">
        <f t="shared" si="18"/>
        <v>0.69314718055994529</v>
      </c>
      <c r="R159" s="5">
        <f t="shared" si="18"/>
        <v>0</v>
      </c>
      <c r="S159" s="5">
        <f t="shared" si="19"/>
        <v>0</v>
      </c>
      <c r="T159" s="3">
        <f t="shared" si="20"/>
        <v>0</v>
      </c>
      <c r="U159" s="3" t="s">
        <v>102</v>
      </c>
      <c r="V159" s="3">
        <v>1</v>
      </c>
      <c r="W159" s="6">
        <v>7.6</v>
      </c>
      <c r="X159" s="4">
        <v>9</v>
      </c>
      <c r="Y159" s="5">
        <v>1.25</v>
      </c>
      <c r="Z159" s="5">
        <v>2</v>
      </c>
      <c r="AA159" s="3" t="s">
        <v>108</v>
      </c>
      <c r="AB159" s="3">
        <v>1</v>
      </c>
      <c r="AC159" s="3" t="s">
        <v>81</v>
      </c>
      <c r="AD159" s="3">
        <v>0</v>
      </c>
      <c r="AE159" s="3" t="s">
        <v>98</v>
      </c>
      <c r="AF159" s="3">
        <v>0</v>
      </c>
      <c r="AG159" s="3" t="s">
        <v>82</v>
      </c>
      <c r="AH159" s="3">
        <v>1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1</v>
      </c>
      <c r="AT159" s="3">
        <v>0</v>
      </c>
      <c r="AU159" s="3">
        <v>1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1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7" t="s">
        <v>528</v>
      </c>
      <c r="BX159" s="7"/>
    </row>
    <row r="160" spans="1:76">
      <c r="A160" s="3" t="s">
        <v>529</v>
      </c>
      <c r="B160" s="3">
        <v>5520</v>
      </c>
      <c r="C160" s="3" t="s">
        <v>527</v>
      </c>
      <c r="D160" s="3">
        <v>2</v>
      </c>
      <c r="E160" s="4">
        <v>34</v>
      </c>
      <c r="F160" s="3" t="s">
        <v>87</v>
      </c>
      <c r="G160" s="3">
        <v>0</v>
      </c>
      <c r="H160" s="3">
        <v>1</v>
      </c>
      <c r="I160" s="4">
        <v>1</v>
      </c>
      <c r="J160" s="4">
        <v>0</v>
      </c>
      <c r="K160" s="4">
        <v>1</v>
      </c>
      <c r="L160" s="5">
        <f>IF(F160="F",65.79,IF(F160="M",79.94,""))</f>
        <v>65.790000000000006</v>
      </c>
      <c r="M160" s="3">
        <f t="shared" si="14"/>
        <v>0</v>
      </c>
      <c r="N160" s="3" t="str">
        <f t="shared" si="15"/>
        <v>VSC-non-halitosis</v>
      </c>
      <c r="O160" s="3" t="str">
        <f t="shared" si="16"/>
        <v>Clinical- / VSC-</v>
      </c>
      <c r="P160" s="5">
        <f t="shared" si="17"/>
        <v>0</v>
      </c>
      <c r="Q160" s="5">
        <f t="shared" si="18"/>
        <v>0.69314718055994529</v>
      </c>
      <c r="R160" s="5">
        <f t="shared" si="18"/>
        <v>0</v>
      </c>
      <c r="S160" s="5">
        <f t="shared" si="19"/>
        <v>0</v>
      </c>
      <c r="T160" s="3">
        <f t="shared" si="20"/>
        <v>0</v>
      </c>
      <c r="U160" s="3" t="s">
        <v>102</v>
      </c>
      <c r="V160" s="3">
        <v>1</v>
      </c>
      <c r="W160" s="6">
        <v>7.4</v>
      </c>
      <c r="X160" s="4">
        <v>12</v>
      </c>
      <c r="Y160" s="5">
        <v>0.85</v>
      </c>
      <c r="Z160" s="5">
        <v>1.6</v>
      </c>
      <c r="AA160" s="3" t="s">
        <v>108</v>
      </c>
      <c r="AB160" s="3">
        <v>1</v>
      </c>
      <c r="AC160" s="3" t="s">
        <v>81</v>
      </c>
      <c r="AD160" s="3">
        <v>0</v>
      </c>
      <c r="AE160" s="3" t="s">
        <v>98</v>
      </c>
      <c r="AF160" s="3">
        <v>0</v>
      </c>
      <c r="AG160" s="3" t="s">
        <v>82</v>
      </c>
      <c r="AH160" s="3">
        <v>1</v>
      </c>
      <c r="AI160" s="3">
        <v>2</v>
      </c>
      <c r="AJ160" s="3">
        <v>1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1</v>
      </c>
      <c r="AT160" s="3">
        <v>0</v>
      </c>
      <c r="AU160" s="3">
        <v>1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1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7" t="s">
        <v>528</v>
      </c>
      <c r="BX160" s="7"/>
    </row>
    <row r="161" spans="1:76">
      <c r="A161" s="3" t="s">
        <v>530</v>
      </c>
      <c r="B161" s="3">
        <v>6514</v>
      </c>
      <c r="C161" s="3" t="s">
        <v>531</v>
      </c>
      <c r="D161" s="3">
        <v>1</v>
      </c>
      <c r="E161" s="4">
        <v>20</v>
      </c>
      <c r="F161" s="3" t="s">
        <v>78</v>
      </c>
      <c r="G161" s="3">
        <v>0</v>
      </c>
      <c r="H161" s="3">
        <v>0</v>
      </c>
      <c r="I161" s="4">
        <v>0</v>
      </c>
      <c r="J161" s="4">
        <v>2</v>
      </c>
      <c r="K161" s="4">
        <v>2</v>
      </c>
      <c r="L161" s="5">
        <f>IF(F161="F",65.79,IF(F161="M",79.94,""))</f>
        <v>79.94</v>
      </c>
      <c r="M161" s="3">
        <f t="shared" si="14"/>
        <v>0</v>
      </c>
      <c r="N161" s="3" t="str">
        <f t="shared" si="15"/>
        <v>VSC-non-halitosis</v>
      </c>
      <c r="O161" s="3" t="str">
        <f t="shared" si="16"/>
        <v>Clinical- / VSC-</v>
      </c>
      <c r="P161" s="5">
        <f t="shared" si="17"/>
        <v>0.69314718055994529</v>
      </c>
      <c r="Q161" s="5">
        <f t="shared" si="18"/>
        <v>0</v>
      </c>
      <c r="R161" s="5">
        <f t="shared" si="18"/>
        <v>1.0986122886681098</v>
      </c>
      <c r="S161" s="5">
        <f t="shared" si="19"/>
        <v>1</v>
      </c>
      <c r="T161" s="3">
        <f t="shared" si="20"/>
        <v>1</v>
      </c>
      <c r="U161" s="3" t="s">
        <v>102</v>
      </c>
      <c r="V161" s="3">
        <v>1</v>
      </c>
      <c r="W161" s="6">
        <v>6.8</v>
      </c>
      <c r="X161" s="4">
        <v>9</v>
      </c>
      <c r="Y161" s="5">
        <v>0.5</v>
      </c>
      <c r="Z161" s="5">
        <v>2</v>
      </c>
      <c r="AA161" s="3" t="s">
        <v>80</v>
      </c>
      <c r="AB161" s="3">
        <v>0</v>
      </c>
      <c r="AC161" s="3" t="s">
        <v>81</v>
      </c>
      <c r="AD161" s="3">
        <v>0</v>
      </c>
      <c r="AE161" s="3" t="s">
        <v>98</v>
      </c>
      <c r="AF161" s="3">
        <v>0</v>
      </c>
      <c r="AG161" s="3" t="s">
        <v>98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7" t="s">
        <v>80</v>
      </c>
      <c r="BX161" s="7" t="s">
        <v>80</v>
      </c>
    </row>
    <row r="162" spans="1:76" ht="34">
      <c r="A162" s="3" t="s">
        <v>532</v>
      </c>
      <c r="B162" s="3">
        <v>6870</v>
      </c>
      <c r="C162" s="3" t="s">
        <v>533</v>
      </c>
      <c r="D162" s="3">
        <v>1</v>
      </c>
      <c r="E162" s="4">
        <v>55</v>
      </c>
      <c r="F162" s="3" t="s">
        <v>78</v>
      </c>
      <c r="G162" s="3">
        <v>0</v>
      </c>
      <c r="H162" s="3">
        <v>1</v>
      </c>
      <c r="I162" s="4">
        <v>3</v>
      </c>
      <c r="J162" s="4">
        <v>1</v>
      </c>
      <c r="K162" s="4">
        <v>4</v>
      </c>
      <c r="L162" s="5">
        <f>IF(F162="F",65.79,IF(F162="M",79.94,""))</f>
        <v>79.94</v>
      </c>
      <c r="M162" s="3">
        <f t="shared" si="14"/>
        <v>0</v>
      </c>
      <c r="N162" s="3" t="str">
        <f t="shared" si="15"/>
        <v>VSC-non-halitosis</v>
      </c>
      <c r="O162" s="3" t="str">
        <f t="shared" si="16"/>
        <v>Clinical- / VSC-</v>
      </c>
      <c r="P162" s="5">
        <f t="shared" si="17"/>
        <v>1.3862943611198906</v>
      </c>
      <c r="Q162" s="5">
        <f t="shared" si="18"/>
        <v>1.3862943611198906</v>
      </c>
      <c r="R162" s="5">
        <f t="shared" si="18"/>
        <v>0.69314718055994529</v>
      </c>
      <c r="S162" s="5">
        <f t="shared" si="19"/>
        <v>0.25</v>
      </c>
      <c r="T162" s="3">
        <f t="shared" si="20"/>
        <v>0</v>
      </c>
      <c r="U162" s="3" t="s">
        <v>79</v>
      </c>
      <c r="V162" s="3">
        <v>2</v>
      </c>
      <c r="W162" s="6">
        <v>6.2</v>
      </c>
      <c r="X162" s="4">
        <v>7</v>
      </c>
      <c r="Y162" s="5">
        <v>0.25</v>
      </c>
      <c r="Z162" s="5">
        <v>0.9</v>
      </c>
      <c r="AA162" s="3" t="s">
        <v>80</v>
      </c>
      <c r="AB162" s="3">
        <v>0</v>
      </c>
      <c r="AC162" s="3" t="s">
        <v>81</v>
      </c>
      <c r="AD162" s="3">
        <v>0</v>
      </c>
      <c r="AE162" s="3" t="s">
        <v>98</v>
      </c>
      <c r="AF162" s="3">
        <v>0</v>
      </c>
      <c r="AG162" s="3" t="s">
        <v>82</v>
      </c>
      <c r="AH162" s="3">
        <v>1</v>
      </c>
      <c r="AI162" s="3">
        <v>1</v>
      </c>
      <c r="AJ162" s="3">
        <v>1</v>
      </c>
      <c r="AK162" s="3">
        <v>1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1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1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7" t="s">
        <v>324</v>
      </c>
      <c r="BX162" s="7" t="s">
        <v>534</v>
      </c>
    </row>
    <row r="163" spans="1:76">
      <c r="A163" s="3" t="s">
        <v>535</v>
      </c>
      <c r="B163" s="3">
        <v>3623</v>
      </c>
      <c r="C163" s="3" t="s">
        <v>536</v>
      </c>
      <c r="D163" s="3">
        <v>6</v>
      </c>
      <c r="E163" s="4">
        <v>71</v>
      </c>
      <c r="F163" s="3" t="s">
        <v>78</v>
      </c>
      <c r="G163" s="3">
        <v>1</v>
      </c>
      <c r="H163" s="3">
        <v>0</v>
      </c>
      <c r="I163" s="4">
        <v>12</v>
      </c>
      <c r="J163" s="4">
        <v>20</v>
      </c>
      <c r="K163" s="4">
        <v>32</v>
      </c>
      <c r="L163" s="5">
        <f>IF(F163="F",65.79,IF(F163="M",79.94,""))</f>
        <v>79.94</v>
      </c>
      <c r="M163" s="3">
        <f t="shared" si="14"/>
        <v>0</v>
      </c>
      <c r="N163" s="3" t="str">
        <f t="shared" si="15"/>
        <v>VSC-non-halitosis</v>
      </c>
      <c r="O163" s="3" t="str">
        <f t="shared" si="16"/>
        <v>Clinical+ / VSC-</v>
      </c>
      <c r="P163" s="5">
        <f t="shared" si="17"/>
        <v>3.4657359027997265</v>
      </c>
      <c r="Q163" s="5">
        <f t="shared" si="18"/>
        <v>2.5649493574615367</v>
      </c>
      <c r="R163" s="5">
        <f t="shared" si="18"/>
        <v>3.044522437723423</v>
      </c>
      <c r="S163" s="5">
        <f t="shared" si="19"/>
        <v>0.625</v>
      </c>
      <c r="T163" s="3">
        <f t="shared" si="20"/>
        <v>1</v>
      </c>
      <c r="U163" s="3" t="s">
        <v>96</v>
      </c>
      <c r="V163" s="3">
        <v>3</v>
      </c>
      <c r="W163" s="6">
        <v>6.8</v>
      </c>
      <c r="X163" s="4">
        <v>8</v>
      </c>
      <c r="Y163" s="5">
        <v>0.45</v>
      </c>
      <c r="Z163" s="5">
        <v>1.6</v>
      </c>
      <c r="AA163" s="3" t="s">
        <v>108</v>
      </c>
      <c r="AB163" s="3">
        <v>1</v>
      </c>
      <c r="AC163" s="3" t="s">
        <v>138</v>
      </c>
      <c r="AD163" s="3">
        <v>1</v>
      </c>
      <c r="AE163" s="3" t="s">
        <v>98</v>
      </c>
      <c r="AF163" s="3">
        <v>0</v>
      </c>
      <c r="AG163" s="3" t="s">
        <v>98</v>
      </c>
      <c r="AH163" s="3">
        <v>0</v>
      </c>
      <c r="AI163" s="3">
        <v>3</v>
      </c>
      <c r="AJ163" s="3">
        <v>2</v>
      </c>
      <c r="AK163" s="3">
        <v>2</v>
      </c>
      <c r="AL163" s="3">
        <v>1</v>
      </c>
      <c r="AM163" s="3">
        <v>0</v>
      </c>
      <c r="AN163" s="3">
        <v>0</v>
      </c>
      <c r="AO163" s="3">
        <v>0</v>
      </c>
      <c r="AP163" s="3">
        <v>1</v>
      </c>
      <c r="AQ163" s="3">
        <v>0</v>
      </c>
      <c r="AR163" s="3">
        <v>1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1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1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7" t="s">
        <v>537</v>
      </c>
      <c r="BX163" s="7" t="s">
        <v>538</v>
      </c>
    </row>
    <row r="164" spans="1:76">
      <c r="A164" s="3" t="s">
        <v>539</v>
      </c>
      <c r="B164" s="3">
        <v>3623</v>
      </c>
      <c r="C164" s="3" t="s">
        <v>536</v>
      </c>
      <c r="D164" s="3">
        <v>6</v>
      </c>
      <c r="E164" s="4">
        <v>71</v>
      </c>
      <c r="F164" s="3" t="s">
        <v>78</v>
      </c>
      <c r="G164" s="3">
        <v>1</v>
      </c>
      <c r="H164" s="3">
        <v>0</v>
      </c>
      <c r="I164" s="4">
        <v>12</v>
      </c>
      <c r="J164" s="4">
        <v>20</v>
      </c>
      <c r="K164" s="4">
        <v>32</v>
      </c>
      <c r="L164" s="5">
        <f>IF(F164="F",65.79,IF(F164="M",79.94,""))</f>
        <v>79.94</v>
      </c>
      <c r="M164" s="3">
        <f t="shared" si="14"/>
        <v>0</v>
      </c>
      <c r="N164" s="3" t="str">
        <f t="shared" si="15"/>
        <v>VSC-non-halitosis</v>
      </c>
      <c r="O164" s="3" t="str">
        <f t="shared" si="16"/>
        <v>Clinical+ / VSC-</v>
      </c>
      <c r="P164" s="5">
        <f t="shared" si="17"/>
        <v>3.4657359027997265</v>
      </c>
      <c r="Q164" s="5">
        <f t="shared" si="18"/>
        <v>2.5649493574615367</v>
      </c>
      <c r="R164" s="5">
        <f t="shared" si="18"/>
        <v>3.044522437723423</v>
      </c>
      <c r="S164" s="5">
        <f t="shared" si="19"/>
        <v>0.625</v>
      </c>
      <c r="T164" s="3">
        <f t="shared" si="20"/>
        <v>1</v>
      </c>
      <c r="U164" s="3" t="s">
        <v>96</v>
      </c>
      <c r="V164" s="3">
        <v>3</v>
      </c>
      <c r="W164" s="6">
        <v>7</v>
      </c>
      <c r="X164" s="4">
        <v>9</v>
      </c>
      <c r="Y164" s="5">
        <v>0.25</v>
      </c>
      <c r="Z164" s="5">
        <v>1.5</v>
      </c>
      <c r="AA164" s="3" t="s">
        <v>108</v>
      </c>
      <c r="AB164" s="3">
        <v>1</v>
      </c>
      <c r="AC164" s="3" t="s">
        <v>138</v>
      </c>
      <c r="AD164" s="3">
        <v>1</v>
      </c>
      <c r="AE164" s="3" t="s">
        <v>98</v>
      </c>
      <c r="AF164" s="3">
        <v>0</v>
      </c>
      <c r="AG164" s="3" t="s">
        <v>98</v>
      </c>
      <c r="AH164" s="3">
        <v>0</v>
      </c>
      <c r="AI164" s="3">
        <v>3</v>
      </c>
      <c r="AJ164" s="3">
        <v>2</v>
      </c>
      <c r="AK164" s="3">
        <v>2</v>
      </c>
      <c r="AL164" s="3">
        <v>1</v>
      </c>
      <c r="AM164" s="3">
        <v>0</v>
      </c>
      <c r="AN164" s="3">
        <v>0</v>
      </c>
      <c r="AO164" s="3">
        <v>0</v>
      </c>
      <c r="AP164" s="3">
        <v>1</v>
      </c>
      <c r="AQ164" s="3">
        <v>0</v>
      </c>
      <c r="AR164" s="3">
        <v>1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1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1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7" t="s">
        <v>537</v>
      </c>
      <c r="BX164" s="7" t="s">
        <v>538</v>
      </c>
    </row>
    <row r="165" spans="1:76">
      <c r="A165" s="3" t="s">
        <v>540</v>
      </c>
      <c r="B165" s="3">
        <v>3623</v>
      </c>
      <c r="C165" s="3" t="s">
        <v>536</v>
      </c>
      <c r="D165" s="3">
        <v>6</v>
      </c>
      <c r="E165" s="4">
        <v>72</v>
      </c>
      <c r="F165" s="3" t="s">
        <v>78</v>
      </c>
      <c r="G165" s="3">
        <v>1</v>
      </c>
      <c r="H165" s="3">
        <v>0</v>
      </c>
      <c r="I165" s="4">
        <v>2</v>
      </c>
      <c r="J165" s="4">
        <v>0</v>
      </c>
      <c r="K165" s="4">
        <v>2</v>
      </c>
      <c r="L165" s="5">
        <f>IF(F165="F",65.79,IF(F165="M",79.94,""))</f>
        <v>79.94</v>
      </c>
      <c r="M165" s="3">
        <f t="shared" si="14"/>
        <v>0</v>
      </c>
      <c r="N165" s="3" t="str">
        <f t="shared" si="15"/>
        <v>VSC-non-halitosis</v>
      </c>
      <c r="O165" s="3" t="str">
        <f t="shared" si="16"/>
        <v>Clinical+ / VSC-</v>
      </c>
      <c r="P165" s="5">
        <f t="shared" si="17"/>
        <v>0.69314718055994529</v>
      </c>
      <c r="Q165" s="5">
        <f t="shared" si="18"/>
        <v>1.0986122886681098</v>
      </c>
      <c r="R165" s="5">
        <f t="shared" si="18"/>
        <v>0</v>
      </c>
      <c r="S165" s="5">
        <f t="shared" si="19"/>
        <v>0</v>
      </c>
      <c r="T165" s="3">
        <f t="shared" si="20"/>
        <v>0</v>
      </c>
      <c r="U165" s="3" t="s">
        <v>102</v>
      </c>
      <c r="V165" s="3">
        <v>1</v>
      </c>
      <c r="W165" s="6">
        <v>6.8</v>
      </c>
      <c r="X165" s="4">
        <v>8</v>
      </c>
      <c r="Y165" s="5">
        <v>0.45</v>
      </c>
      <c r="Z165" s="5">
        <v>1.6</v>
      </c>
      <c r="AA165" s="3" t="s">
        <v>108</v>
      </c>
      <c r="AB165" s="3">
        <v>1</v>
      </c>
      <c r="AC165" s="3" t="s">
        <v>138</v>
      </c>
      <c r="AD165" s="3">
        <v>1</v>
      </c>
      <c r="AE165" s="3" t="s">
        <v>98</v>
      </c>
      <c r="AF165" s="3">
        <v>0</v>
      </c>
      <c r="AG165" s="3" t="s">
        <v>98</v>
      </c>
      <c r="AH165" s="3">
        <v>0</v>
      </c>
      <c r="AI165" s="3">
        <v>3</v>
      </c>
      <c r="AJ165" s="3">
        <v>2</v>
      </c>
      <c r="AK165" s="3">
        <v>2</v>
      </c>
      <c r="AL165" s="3">
        <v>1</v>
      </c>
      <c r="AM165" s="3">
        <v>0</v>
      </c>
      <c r="AN165" s="3">
        <v>0</v>
      </c>
      <c r="AO165" s="3">
        <v>0</v>
      </c>
      <c r="AP165" s="3">
        <v>1</v>
      </c>
      <c r="AQ165" s="3">
        <v>0</v>
      </c>
      <c r="AR165" s="3">
        <v>1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1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1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7" t="s">
        <v>537</v>
      </c>
      <c r="BX165" s="7" t="s">
        <v>538</v>
      </c>
    </row>
    <row r="166" spans="1:76">
      <c r="A166" s="3" t="s">
        <v>541</v>
      </c>
      <c r="B166" s="3">
        <v>3623</v>
      </c>
      <c r="C166" s="3" t="s">
        <v>536</v>
      </c>
      <c r="D166" s="3">
        <v>6</v>
      </c>
      <c r="E166" s="4">
        <v>72</v>
      </c>
      <c r="F166" s="3" t="s">
        <v>78</v>
      </c>
      <c r="G166" s="3">
        <v>1</v>
      </c>
      <c r="H166" s="3">
        <v>0</v>
      </c>
      <c r="I166" s="4">
        <v>2</v>
      </c>
      <c r="J166" s="4">
        <v>0</v>
      </c>
      <c r="K166" s="4">
        <v>2</v>
      </c>
      <c r="L166" s="5">
        <f>IF(F166="F",65.79,IF(F166="M",79.94,""))</f>
        <v>79.94</v>
      </c>
      <c r="M166" s="3">
        <f t="shared" si="14"/>
        <v>0</v>
      </c>
      <c r="N166" s="3" t="str">
        <f t="shared" si="15"/>
        <v>VSC-non-halitosis</v>
      </c>
      <c r="O166" s="3" t="str">
        <f t="shared" si="16"/>
        <v>Clinical+ / VSC-</v>
      </c>
      <c r="P166" s="5">
        <f t="shared" si="17"/>
        <v>0.69314718055994529</v>
      </c>
      <c r="Q166" s="5">
        <f t="shared" si="18"/>
        <v>1.0986122886681098</v>
      </c>
      <c r="R166" s="5">
        <f t="shared" si="18"/>
        <v>0</v>
      </c>
      <c r="S166" s="5">
        <f t="shared" si="19"/>
        <v>0</v>
      </c>
      <c r="T166" s="3">
        <f t="shared" si="20"/>
        <v>0</v>
      </c>
      <c r="U166" s="3" t="s">
        <v>102</v>
      </c>
      <c r="V166" s="3">
        <v>1</v>
      </c>
      <c r="W166" s="6">
        <v>7</v>
      </c>
      <c r="X166" s="4">
        <v>9</v>
      </c>
      <c r="Y166" s="5">
        <v>0.25</v>
      </c>
      <c r="Z166" s="5">
        <v>1.5</v>
      </c>
      <c r="AA166" s="3" t="s">
        <v>108</v>
      </c>
      <c r="AB166" s="3">
        <v>1</v>
      </c>
      <c r="AC166" s="3" t="s">
        <v>138</v>
      </c>
      <c r="AD166" s="3">
        <v>1</v>
      </c>
      <c r="AE166" s="3" t="s">
        <v>98</v>
      </c>
      <c r="AF166" s="3">
        <v>0</v>
      </c>
      <c r="AG166" s="3" t="s">
        <v>98</v>
      </c>
      <c r="AH166" s="3">
        <v>0</v>
      </c>
      <c r="AI166" s="3">
        <v>3</v>
      </c>
      <c r="AJ166" s="3">
        <v>2</v>
      </c>
      <c r="AK166" s="3">
        <v>2</v>
      </c>
      <c r="AL166" s="3">
        <v>1</v>
      </c>
      <c r="AM166" s="3">
        <v>0</v>
      </c>
      <c r="AN166" s="3">
        <v>0</v>
      </c>
      <c r="AO166" s="3">
        <v>0</v>
      </c>
      <c r="AP166" s="3">
        <v>1</v>
      </c>
      <c r="AQ166" s="3">
        <v>0</v>
      </c>
      <c r="AR166" s="3">
        <v>1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1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1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7" t="s">
        <v>537</v>
      </c>
      <c r="BX166" s="7" t="s">
        <v>538</v>
      </c>
    </row>
    <row r="167" spans="1:76">
      <c r="A167" s="3" t="s">
        <v>542</v>
      </c>
      <c r="B167" s="3">
        <v>3623</v>
      </c>
      <c r="C167" s="3" t="s">
        <v>536</v>
      </c>
      <c r="D167" s="3">
        <v>6</v>
      </c>
      <c r="E167" s="4">
        <v>72</v>
      </c>
      <c r="F167" s="3" t="s">
        <v>78</v>
      </c>
      <c r="G167" s="3">
        <v>1</v>
      </c>
      <c r="H167" s="3">
        <v>0</v>
      </c>
      <c r="I167" s="4">
        <v>7</v>
      </c>
      <c r="J167" s="4">
        <v>0</v>
      </c>
      <c r="K167" s="4">
        <v>7</v>
      </c>
      <c r="L167" s="5">
        <f>IF(F167="F",65.79,IF(F167="M",79.94,""))</f>
        <v>79.94</v>
      </c>
      <c r="M167" s="3">
        <f t="shared" si="14"/>
        <v>0</v>
      </c>
      <c r="N167" s="3" t="str">
        <f t="shared" si="15"/>
        <v>VSC-non-halitosis</v>
      </c>
      <c r="O167" s="3" t="str">
        <f t="shared" si="16"/>
        <v>Clinical+ / VSC-</v>
      </c>
      <c r="P167" s="5">
        <f t="shared" si="17"/>
        <v>1.9459101490553132</v>
      </c>
      <c r="Q167" s="5">
        <f t="shared" si="18"/>
        <v>2.0794415416798357</v>
      </c>
      <c r="R167" s="5">
        <f t="shared" si="18"/>
        <v>0</v>
      </c>
      <c r="S167" s="5">
        <f t="shared" si="19"/>
        <v>0</v>
      </c>
      <c r="T167" s="3">
        <f t="shared" si="20"/>
        <v>0</v>
      </c>
      <c r="U167" s="3" t="s">
        <v>79</v>
      </c>
      <c r="V167" s="3">
        <v>2</v>
      </c>
      <c r="W167" s="6">
        <v>6.8</v>
      </c>
      <c r="X167" s="4">
        <v>8</v>
      </c>
      <c r="Y167" s="5">
        <v>0.45</v>
      </c>
      <c r="Z167" s="5">
        <v>1.6</v>
      </c>
      <c r="AA167" s="3" t="s">
        <v>108</v>
      </c>
      <c r="AB167" s="3">
        <v>1</v>
      </c>
      <c r="AC167" s="3" t="s">
        <v>138</v>
      </c>
      <c r="AD167" s="3">
        <v>1</v>
      </c>
      <c r="AE167" s="3" t="s">
        <v>98</v>
      </c>
      <c r="AF167" s="3">
        <v>0</v>
      </c>
      <c r="AG167" s="3" t="s">
        <v>98</v>
      </c>
      <c r="AH167" s="3">
        <v>0</v>
      </c>
      <c r="AI167" s="3">
        <v>3</v>
      </c>
      <c r="AJ167" s="3">
        <v>2</v>
      </c>
      <c r="AK167" s="3">
        <v>2</v>
      </c>
      <c r="AL167" s="3">
        <v>1</v>
      </c>
      <c r="AM167" s="3">
        <v>0</v>
      </c>
      <c r="AN167" s="3">
        <v>0</v>
      </c>
      <c r="AO167" s="3">
        <v>0</v>
      </c>
      <c r="AP167" s="3">
        <v>1</v>
      </c>
      <c r="AQ167" s="3">
        <v>0</v>
      </c>
      <c r="AR167" s="3">
        <v>1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1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1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7" t="s">
        <v>537</v>
      </c>
      <c r="BX167" s="7" t="s">
        <v>538</v>
      </c>
    </row>
    <row r="168" spans="1:76">
      <c r="A168" s="3" t="s">
        <v>543</v>
      </c>
      <c r="B168" s="3">
        <v>3623</v>
      </c>
      <c r="C168" s="3" t="s">
        <v>536</v>
      </c>
      <c r="D168" s="3">
        <v>6</v>
      </c>
      <c r="E168" s="4">
        <v>72</v>
      </c>
      <c r="F168" s="3" t="s">
        <v>78</v>
      </c>
      <c r="G168" s="3">
        <v>1</v>
      </c>
      <c r="H168" s="3">
        <v>0</v>
      </c>
      <c r="I168" s="4">
        <v>7</v>
      </c>
      <c r="J168" s="4">
        <v>0</v>
      </c>
      <c r="K168" s="4">
        <v>7</v>
      </c>
      <c r="L168" s="5">
        <f>IF(F168="F",65.79,IF(F168="M",79.94,""))</f>
        <v>79.94</v>
      </c>
      <c r="M168" s="3">
        <f t="shared" si="14"/>
        <v>0</v>
      </c>
      <c r="N168" s="3" t="str">
        <f t="shared" si="15"/>
        <v>VSC-non-halitosis</v>
      </c>
      <c r="O168" s="3" t="str">
        <f t="shared" si="16"/>
        <v>Clinical+ / VSC-</v>
      </c>
      <c r="P168" s="5">
        <f t="shared" si="17"/>
        <v>1.9459101490553132</v>
      </c>
      <c r="Q168" s="5">
        <f t="shared" si="18"/>
        <v>2.0794415416798357</v>
      </c>
      <c r="R168" s="5">
        <f t="shared" si="18"/>
        <v>0</v>
      </c>
      <c r="S168" s="5">
        <f t="shared" si="19"/>
        <v>0</v>
      </c>
      <c r="T168" s="3">
        <f t="shared" si="20"/>
        <v>0</v>
      </c>
      <c r="U168" s="3" t="s">
        <v>79</v>
      </c>
      <c r="V168" s="3">
        <v>2</v>
      </c>
      <c r="W168" s="6">
        <v>7</v>
      </c>
      <c r="X168" s="4">
        <v>9</v>
      </c>
      <c r="Y168" s="5">
        <v>0.25</v>
      </c>
      <c r="Z168" s="5">
        <v>1.5</v>
      </c>
      <c r="AA168" s="3" t="s">
        <v>108</v>
      </c>
      <c r="AB168" s="3">
        <v>1</v>
      </c>
      <c r="AC168" s="3" t="s">
        <v>138</v>
      </c>
      <c r="AD168" s="3">
        <v>1</v>
      </c>
      <c r="AE168" s="3" t="s">
        <v>98</v>
      </c>
      <c r="AF168" s="3">
        <v>0</v>
      </c>
      <c r="AG168" s="3" t="s">
        <v>98</v>
      </c>
      <c r="AH168" s="3">
        <v>0</v>
      </c>
      <c r="AI168" s="3">
        <v>3</v>
      </c>
      <c r="AJ168" s="3">
        <v>2</v>
      </c>
      <c r="AK168" s="3">
        <v>2</v>
      </c>
      <c r="AL168" s="3">
        <v>1</v>
      </c>
      <c r="AM168" s="3">
        <v>0</v>
      </c>
      <c r="AN168" s="3">
        <v>0</v>
      </c>
      <c r="AO168" s="3">
        <v>0</v>
      </c>
      <c r="AP168" s="3">
        <v>1</v>
      </c>
      <c r="AQ168" s="3">
        <v>0</v>
      </c>
      <c r="AR168" s="3">
        <v>1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1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1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7" t="s">
        <v>537</v>
      </c>
      <c r="BX168" s="7" t="s">
        <v>538</v>
      </c>
    </row>
    <row r="169" spans="1:76">
      <c r="A169" s="3" t="s">
        <v>544</v>
      </c>
      <c r="B169" s="3">
        <v>3233</v>
      </c>
      <c r="C169" s="3" t="s">
        <v>545</v>
      </c>
      <c r="D169" s="3">
        <v>1</v>
      </c>
      <c r="E169" s="4">
        <v>74</v>
      </c>
      <c r="F169" s="3" t="s">
        <v>87</v>
      </c>
      <c r="G169" s="3">
        <v>0</v>
      </c>
      <c r="H169" s="3">
        <v>0</v>
      </c>
      <c r="I169" s="4">
        <v>187</v>
      </c>
      <c r="J169" s="4">
        <v>146</v>
      </c>
      <c r="K169" s="4">
        <v>333</v>
      </c>
      <c r="L169" s="5">
        <f>IF(F169="F",65.79,IF(F169="M",79.94,""))</f>
        <v>65.790000000000006</v>
      </c>
      <c r="M169" s="3">
        <f t="shared" si="14"/>
        <v>1</v>
      </c>
      <c r="N169" s="3" t="str">
        <f t="shared" si="15"/>
        <v>VSC-halitosis</v>
      </c>
      <c r="O169" s="3" t="str">
        <f t="shared" si="16"/>
        <v>Clinical- / VSC+</v>
      </c>
      <c r="P169" s="5">
        <f t="shared" si="17"/>
        <v>5.8081424899804439</v>
      </c>
      <c r="Q169" s="5">
        <f t="shared" si="18"/>
        <v>5.2364419628299492</v>
      </c>
      <c r="R169" s="5">
        <f t="shared" si="18"/>
        <v>4.990432586778736</v>
      </c>
      <c r="S169" s="5">
        <f t="shared" si="19"/>
        <v>0.43843843843843844</v>
      </c>
      <c r="T169" s="3">
        <f t="shared" si="20"/>
        <v>0</v>
      </c>
      <c r="U169" s="3" t="s">
        <v>96</v>
      </c>
      <c r="V169" s="3">
        <v>3</v>
      </c>
      <c r="W169" s="6">
        <v>7.2</v>
      </c>
      <c r="X169" s="4">
        <v>12</v>
      </c>
      <c r="Y169" s="5">
        <v>0.2</v>
      </c>
      <c r="Z169" s="5">
        <v>1</v>
      </c>
      <c r="AA169" s="3" t="s">
        <v>80</v>
      </c>
      <c r="AB169" s="3">
        <v>0</v>
      </c>
      <c r="AC169" s="3" t="s">
        <v>113</v>
      </c>
      <c r="AD169" s="3">
        <v>0</v>
      </c>
      <c r="AE169" s="3" t="s">
        <v>98</v>
      </c>
      <c r="AF169" s="3">
        <v>0</v>
      </c>
      <c r="AG169" s="3" t="s">
        <v>98</v>
      </c>
      <c r="AH169" s="3">
        <v>0</v>
      </c>
      <c r="AI169" s="3">
        <v>3</v>
      </c>
      <c r="AJ169" s="3">
        <v>1</v>
      </c>
      <c r="AK169" s="3">
        <v>0</v>
      </c>
      <c r="AL169" s="3">
        <v>0</v>
      </c>
      <c r="AM169" s="3">
        <v>1</v>
      </c>
      <c r="AN169" s="3">
        <v>1</v>
      </c>
      <c r="AO169" s="3">
        <v>0</v>
      </c>
      <c r="AP169" s="3">
        <v>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1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7" t="s">
        <v>546</v>
      </c>
      <c r="BX169" s="7" t="s">
        <v>547</v>
      </c>
    </row>
    <row r="170" spans="1:76">
      <c r="A170" s="3" t="s">
        <v>548</v>
      </c>
      <c r="B170" s="3">
        <v>6409</v>
      </c>
      <c r="C170" s="3" t="s">
        <v>549</v>
      </c>
      <c r="D170" s="3">
        <v>1</v>
      </c>
      <c r="E170" s="4">
        <v>63</v>
      </c>
      <c r="F170" s="3" t="s">
        <v>87</v>
      </c>
      <c r="G170" s="3">
        <v>0</v>
      </c>
      <c r="H170" s="3">
        <v>1</v>
      </c>
      <c r="I170" s="4">
        <v>3</v>
      </c>
      <c r="J170" s="4">
        <v>0</v>
      </c>
      <c r="K170" s="4">
        <v>3</v>
      </c>
      <c r="L170" s="5">
        <f>IF(F170="F",65.79,IF(F170="M",79.94,""))</f>
        <v>65.790000000000006</v>
      </c>
      <c r="M170" s="3">
        <f t="shared" si="14"/>
        <v>0</v>
      </c>
      <c r="N170" s="3" t="str">
        <f t="shared" si="15"/>
        <v>VSC-non-halitosis</v>
      </c>
      <c r="O170" s="3" t="str">
        <f t="shared" si="16"/>
        <v>Clinical- / VSC-</v>
      </c>
      <c r="P170" s="5">
        <f t="shared" si="17"/>
        <v>1.0986122886681098</v>
      </c>
      <c r="Q170" s="5">
        <f t="shared" si="18"/>
        <v>1.3862943611198906</v>
      </c>
      <c r="R170" s="5">
        <f t="shared" si="18"/>
        <v>0</v>
      </c>
      <c r="S170" s="5">
        <f t="shared" si="19"/>
        <v>0</v>
      </c>
      <c r="T170" s="3">
        <f t="shared" si="20"/>
        <v>0</v>
      </c>
      <c r="U170" s="3" t="s">
        <v>102</v>
      </c>
      <c r="V170" s="3">
        <v>1</v>
      </c>
      <c r="W170" s="6">
        <v>5.8</v>
      </c>
      <c r="X170" s="4">
        <v>8</v>
      </c>
      <c r="Y170" s="5">
        <v>0.3</v>
      </c>
      <c r="Z170" s="5">
        <v>0.8</v>
      </c>
      <c r="AA170" s="3" t="s">
        <v>80</v>
      </c>
      <c r="AB170" s="3">
        <v>0</v>
      </c>
      <c r="AC170" s="3" t="s">
        <v>138</v>
      </c>
      <c r="AD170" s="3">
        <v>1</v>
      </c>
      <c r="AE170" s="3" t="s">
        <v>103</v>
      </c>
      <c r="AF170" s="3">
        <v>1</v>
      </c>
      <c r="AG170" s="3" t="s">
        <v>98</v>
      </c>
      <c r="AH170" s="3">
        <v>0</v>
      </c>
      <c r="AI170" s="3">
        <v>1</v>
      </c>
      <c r="AJ170" s="3">
        <v>1</v>
      </c>
      <c r="AK170" s="3">
        <v>0</v>
      </c>
      <c r="AL170" s="3">
        <v>0</v>
      </c>
      <c r="AM170" s="3">
        <v>1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1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7" t="s">
        <v>219</v>
      </c>
      <c r="BX170" s="7" t="s">
        <v>550</v>
      </c>
    </row>
    <row r="171" spans="1:76">
      <c r="A171" s="3" t="s">
        <v>551</v>
      </c>
      <c r="B171" s="3">
        <v>5296</v>
      </c>
      <c r="C171" s="3" t="s">
        <v>552</v>
      </c>
      <c r="D171" s="3">
        <v>1</v>
      </c>
      <c r="E171" s="4">
        <v>68</v>
      </c>
      <c r="F171" s="3" t="s">
        <v>87</v>
      </c>
      <c r="G171" s="3">
        <v>0</v>
      </c>
      <c r="H171" s="3">
        <v>0</v>
      </c>
      <c r="I171" s="4">
        <v>2</v>
      </c>
      <c r="J171" s="4">
        <v>0</v>
      </c>
      <c r="K171" s="4">
        <v>2</v>
      </c>
      <c r="L171" s="5">
        <f>IF(F171="F",65.79,IF(F171="M",79.94,""))</f>
        <v>65.790000000000006</v>
      </c>
      <c r="M171" s="3">
        <f t="shared" si="14"/>
        <v>0</v>
      </c>
      <c r="N171" s="3" t="str">
        <f t="shared" si="15"/>
        <v>VSC-non-halitosis</v>
      </c>
      <c r="O171" s="3" t="str">
        <f t="shared" si="16"/>
        <v>Clinical- / VSC-</v>
      </c>
      <c r="P171" s="5">
        <f t="shared" si="17"/>
        <v>0.69314718055994529</v>
      </c>
      <c r="Q171" s="5">
        <f t="shared" si="18"/>
        <v>1.0986122886681098</v>
      </c>
      <c r="R171" s="5">
        <f t="shared" si="18"/>
        <v>0</v>
      </c>
      <c r="S171" s="5">
        <f t="shared" si="19"/>
        <v>0</v>
      </c>
      <c r="T171" s="3">
        <f t="shared" si="20"/>
        <v>0</v>
      </c>
      <c r="U171" s="3" t="s">
        <v>102</v>
      </c>
      <c r="V171" s="3">
        <v>1</v>
      </c>
      <c r="W171" s="6">
        <v>5.6</v>
      </c>
      <c r="X171" s="4">
        <v>4</v>
      </c>
      <c r="Y171" s="5">
        <v>0.05</v>
      </c>
      <c r="Z171" s="5">
        <v>0.6</v>
      </c>
      <c r="AA171" s="3" t="s">
        <v>208</v>
      </c>
      <c r="AB171" s="3">
        <v>1</v>
      </c>
      <c r="AC171" s="3" t="s">
        <v>138</v>
      </c>
      <c r="AD171" s="3">
        <v>1</v>
      </c>
      <c r="AE171" s="3" t="s">
        <v>82</v>
      </c>
      <c r="AF171" s="3">
        <v>1</v>
      </c>
      <c r="AG171" s="3" t="s">
        <v>82</v>
      </c>
      <c r="AH171" s="3">
        <v>1</v>
      </c>
      <c r="AI171" s="3">
        <v>0</v>
      </c>
      <c r="AJ171" s="3">
        <v>1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1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7" t="s">
        <v>119</v>
      </c>
      <c r="BX171" s="7" t="s">
        <v>553</v>
      </c>
    </row>
    <row r="172" spans="1:76" ht="34">
      <c r="A172" s="3" t="s">
        <v>554</v>
      </c>
      <c r="B172" s="3">
        <v>2849</v>
      </c>
      <c r="C172" s="3" t="s">
        <v>555</v>
      </c>
      <c r="D172" s="3">
        <v>1</v>
      </c>
      <c r="E172" s="4">
        <v>48</v>
      </c>
      <c r="F172" s="3" t="s">
        <v>87</v>
      </c>
      <c r="G172" s="3">
        <v>0</v>
      </c>
      <c r="H172" s="3">
        <v>0</v>
      </c>
      <c r="I172" s="4">
        <v>212</v>
      </c>
      <c r="J172" s="4">
        <v>15</v>
      </c>
      <c r="K172" s="4">
        <v>227</v>
      </c>
      <c r="L172" s="5">
        <f>IF(F172="F",65.79,IF(F172="M",79.94,""))</f>
        <v>65.790000000000006</v>
      </c>
      <c r="M172" s="3">
        <f t="shared" si="14"/>
        <v>1</v>
      </c>
      <c r="N172" s="3" t="str">
        <f t="shared" si="15"/>
        <v>VSC-halitosis</v>
      </c>
      <c r="O172" s="3" t="str">
        <f t="shared" si="16"/>
        <v>Clinical- / VSC+</v>
      </c>
      <c r="P172" s="5">
        <f t="shared" si="17"/>
        <v>5.4249500174814029</v>
      </c>
      <c r="Q172" s="5">
        <f t="shared" si="18"/>
        <v>5.3612921657094255</v>
      </c>
      <c r="R172" s="5">
        <f t="shared" si="18"/>
        <v>2.7725887222397811</v>
      </c>
      <c r="S172" s="5">
        <f t="shared" si="19"/>
        <v>6.6079295154185022E-2</v>
      </c>
      <c r="T172" s="3">
        <f t="shared" si="20"/>
        <v>0</v>
      </c>
      <c r="U172" s="3" t="s">
        <v>96</v>
      </c>
      <c r="V172" s="3">
        <v>3</v>
      </c>
      <c r="W172" s="6"/>
      <c r="X172" s="4">
        <v>8</v>
      </c>
      <c r="Y172" s="5">
        <v>0.3</v>
      </c>
      <c r="Z172" s="5">
        <v>0.96</v>
      </c>
      <c r="AA172" s="3" t="s">
        <v>80</v>
      </c>
      <c r="AB172" s="3">
        <v>0</v>
      </c>
      <c r="AC172" s="3" t="s">
        <v>113</v>
      </c>
      <c r="AD172" s="3">
        <v>0</v>
      </c>
      <c r="AE172" s="3" t="s">
        <v>82</v>
      </c>
      <c r="AF172" s="3">
        <v>1</v>
      </c>
      <c r="AG172" s="3" t="s">
        <v>108</v>
      </c>
      <c r="AH172" s="3">
        <v>1</v>
      </c>
      <c r="AI172" s="3">
        <v>2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1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1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7" t="s">
        <v>556</v>
      </c>
      <c r="BX172" s="7" t="s">
        <v>557</v>
      </c>
    </row>
    <row r="173" spans="1:76">
      <c r="A173" s="3" t="s">
        <v>558</v>
      </c>
      <c r="B173" s="3">
        <v>5786</v>
      </c>
      <c r="C173" s="3" t="s">
        <v>559</v>
      </c>
      <c r="D173" s="3">
        <v>1</v>
      </c>
      <c r="E173" s="4">
        <v>67</v>
      </c>
      <c r="F173" s="3" t="s">
        <v>78</v>
      </c>
      <c r="G173" s="3">
        <v>0</v>
      </c>
      <c r="H173" s="3">
        <v>0</v>
      </c>
      <c r="I173" s="4">
        <v>6</v>
      </c>
      <c r="J173" s="4">
        <v>1</v>
      </c>
      <c r="K173" s="4">
        <v>7</v>
      </c>
      <c r="L173" s="5">
        <f>IF(F173="F",65.79,IF(F173="M",79.94,""))</f>
        <v>79.94</v>
      </c>
      <c r="M173" s="3">
        <f t="shared" si="14"/>
        <v>0</v>
      </c>
      <c r="N173" s="3" t="str">
        <f t="shared" si="15"/>
        <v>VSC-non-halitosis</v>
      </c>
      <c r="O173" s="3" t="str">
        <f t="shared" si="16"/>
        <v>Clinical- / VSC-</v>
      </c>
      <c r="P173" s="5">
        <f t="shared" si="17"/>
        <v>1.9459101490553132</v>
      </c>
      <c r="Q173" s="5">
        <f t="shared" si="18"/>
        <v>1.9459101490553132</v>
      </c>
      <c r="R173" s="5">
        <f t="shared" si="18"/>
        <v>0.69314718055994529</v>
      </c>
      <c r="S173" s="5">
        <f t="shared" si="19"/>
        <v>0.14285714285714285</v>
      </c>
      <c r="T173" s="3">
        <f t="shared" si="20"/>
        <v>0</v>
      </c>
      <c r="U173" s="3" t="s">
        <v>79</v>
      </c>
      <c r="V173" s="3">
        <v>2</v>
      </c>
      <c r="W173" s="6">
        <v>7.5</v>
      </c>
      <c r="X173" s="4">
        <v>8</v>
      </c>
      <c r="Y173" s="5">
        <v>0.5</v>
      </c>
      <c r="Z173" s="5">
        <v>1.28</v>
      </c>
      <c r="AA173" s="3" t="s">
        <v>80</v>
      </c>
      <c r="AB173" s="3">
        <v>0</v>
      </c>
      <c r="AC173" s="3" t="s">
        <v>81</v>
      </c>
      <c r="AD173" s="3">
        <v>0</v>
      </c>
      <c r="AE173" s="3" t="s">
        <v>98</v>
      </c>
      <c r="AF173" s="3">
        <v>0</v>
      </c>
      <c r="AG173" s="3" t="s">
        <v>98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7"/>
      <c r="BX173" s="7" t="s">
        <v>560</v>
      </c>
    </row>
    <row r="174" spans="1:76">
      <c r="A174" s="3" t="s">
        <v>561</v>
      </c>
      <c r="B174" s="3">
        <v>3093</v>
      </c>
      <c r="C174" s="3" t="s">
        <v>562</v>
      </c>
      <c r="D174" s="3">
        <v>3</v>
      </c>
      <c r="E174" s="4">
        <v>52</v>
      </c>
      <c r="F174" s="3" t="s">
        <v>87</v>
      </c>
      <c r="G174" s="3">
        <v>0</v>
      </c>
      <c r="H174" s="3">
        <v>0</v>
      </c>
      <c r="I174" s="4">
        <v>124</v>
      </c>
      <c r="J174" s="4">
        <v>65</v>
      </c>
      <c r="K174" s="4">
        <v>189</v>
      </c>
      <c r="L174" s="5">
        <f>IF(F174="F",65.79,IF(F174="M",79.94,""))</f>
        <v>65.790000000000006</v>
      </c>
      <c r="M174" s="3">
        <f t="shared" si="14"/>
        <v>1</v>
      </c>
      <c r="N174" s="3" t="str">
        <f t="shared" si="15"/>
        <v>VSC-halitosis</v>
      </c>
      <c r="O174" s="3" t="str">
        <f t="shared" si="16"/>
        <v>Clinical- / VSC+</v>
      </c>
      <c r="P174" s="5">
        <f t="shared" si="17"/>
        <v>5.2417470150596426</v>
      </c>
      <c r="Q174" s="5">
        <f t="shared" si="18"/>
        <v>4.8283137373023015</v>
      </c>
      <c r="R174" s="5">
        <f t="shared" si="18"/>
        <v>4.1896547420264252</v>
      </c>
      <c r="S174" s="5">
        <f t="shared" si="19"/>
        <v>0.3439153439153439</v>
      </c>
      <c r="T174" s="3">
        <f t="shared" si="20"/>
        <v>0</v>
      </c>
      <c r="U174" s="3" t="s">
        <v>96</v>
      </c>
      <c r="V174" s="3">
        <v>3</v>
      </c>
      <c r="W174" s="6">
        <v>7</v>
      </c>
      <c r="X174" s="4">
        <v>11</v>
      </c>
      <c r="Y174" s="5">
        <v>0.45</v>
      </c>
      <c r="Z174" s="5">
        <v>1</v>
      </c>
      <c r="AA174" s="3" t="s">
        <v>80</v>
      </c>
      <c r="AB174" s="3">
        <v>0</v>
      </c>
      <c r="AC174" s="3" t="s">
        <v>113</v>
      </c>
      <c r="AD174" s="3">
        <v>0</v>
      </c>
      <c r="AE174" s="3" t="s">
        <v>82</v>
      </c>
      <c r="AF174" s="3">
        <v>1</v>
      </c>
      <c r="AG174" s="3" t="s">
        <v>98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7" t="s">
        <v>563</v>
      </c>
      <c r="BX174" s="7" t="s">
        <v>119</v>
      </c>
    </row>
    <row r="175" spans="1:76">
      <c r="A175" s="3" t="s">
        <v>564</v>
      </c>
      <c r="B175" s="3">
        <v>3093</v>
      </c>
      <c r="C175" s="3" t="s">
        <v>562</v>
      </c>
      <c r="D175" s="3">
        <v>3</v>
      </c>
      <c r="E175" s="4">
        <v>34</v>
      </c>
      <c r="F175" s="3" t="s">
        <v>87</v>
      </c>
      <c r="G175" s="3">
        <v>0</v>
      </c>
      <c r="H175" s="3">
        <v>0</v>
      </c>
      <c r="I175" s="4">
        <v>3</v>
      </c>
      <c r="J175" s="4">
        <v>0</v>
      </c>
      <c r="K175" s="4">
        <v>3</v>
      </c>
      <c r="L175" s="5">
        <f>IF(F175="F",65.79,IF(F175="M",79.94,""))</f>
        <v>65.790000000000006</v>
      </c>
      <c r="M175" s="3">
        <f t="shared" si="14"/>
        <v>0</v>
      </c>
      <c r="N175" s="3" t="str">
        <f t="shared" si="15"/>
        <v>VSC-non-halitosis</v>
      </c>
      <c r="O175" s="3" t="str">
        <f t="shared" si="16"/>
        <v>Clinical- / VSC-</v>
      </c>
      <c r="P175" s="5">
        <f t="shared" si="17"/>
        <v>1.0986122886681098</v>
      </c>
      <c r="Q175" s="5">
        <f t="shared" si="18"/>
        <v>1.3862943611198906</v>
      </c>
      <c r="R175" s="5">
        <f t="shared" si="18"/>
        <v>0</v>
      </c>
      <c r="S175" s="5">
        <f t="shared" si="19"/>
        <v>0</v>
      </c>
      <c r="T175" s="3">
        <f t="shared" si="20"/>
        <v>0</v>
      </c>
      <c r="U175" s="3" t="s">
        <v>102</v>
      </c>
      <c r="V175" s="3">
        <v>1</v>
      </c>
      <c r="W175" s="6">
        <v>7</v>
      </c>
      <c r="X175" s="4">
        <v>11</v>
      </c>
      <c r="Y175" s="5">
        <v>0.45</v>
      </c>
      <c r="Z175" s="5">
        <v>1</v>
      </c>
      <c r="AA175" s="3" t="s">
        <v>80</v>
      </c>
      <c r="AB175" s="3">
        <v>0</v>
      </c>
      <c r="AC175" s="3" t="s">
        <v>113</v>
      </c>
      <c r="AD175" s="3">
        <v>0</v>
      </c>
      <c r="AE175" s="3" t="s">
        <v>82</v>
      </c>
      <c r="AF175" s="3">
        <v>1</v>
      </c>
      <c r="AG175" s="3" t="s">
        <v>98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7" t="s">
        <v>563</v>
      </c>
      <c r="BX175" s="7" t="s">
        <v>119</v>
      </c>
    </row>
    <row r="176" spans="1:76">
      <c r="A176" s="3" t="s">
        <v>565</v>
      </c>
      <c r="B176" s="3">
        <v>3093</v>
      </c>
      <c r="C176" s="3" t="s">
        <v>562</v>
      </c>
      <c r="D176" s="3">
        <v>3</v>
      </c>
      <c r="E176" s="4">
        <v>51</v>
      </c>
      <c r="F176" s="3" t="s">
        <v>87</v>
      </c>
      <c r="G176" s="3">
        <v>0</v>
      </c>
      <c r="H176" s="3">
        <v>0</v>
      </c>
      <c r="I176" s="4">
        <v>15</v>
      </c>
      <c r="J176" s="4">
        <v>12</v>
      </c>
      <c r="K176" s="4">
        <v>27</v>
      </c>
      <c r="L176" s="5">
        <f>IF(F176="F",65.79,IF(F176="M",79.94,""))</f>
        <v>65.790000000000006</v>
      </c>
      <c r="M176" s="3">
        <f t="shared" si="14"/>
        <v>0</v>
      </c>
      <c r="N176" s="3" t="str">
        <f t="shared" si="15"/>
        <v>VSC-non-halitosis</v>
      </c>
      <c r="O176" s="3" t="str">
        <f t="shared" si="16"/>
        <v>Clinical- / VSC-</v>
      </c>
      <c r="P176" s="5">
        <f t="shared" si="17"/>
        <v>3.2958368660043291</v>
      </c>
      <c r="Q176" s="5">
        <f t="shared" si="18"/>
        <v>2.7725887222397811</v>
      </c>
      <c r="R176" s="5">
        <f t="shared" si="18"/>
        <v>2.5649493574615367</v>
      </c>
      <c r="S176" s="5">
        <f t="shared" si="19"/>
        <v>0.44444444444444442</v>
      </c>
      <c r="T176" s="3">
        <f t="shared" si="20"/>
        <v>0</v>
      </c>
      <c r="U176" s="3" t="s">
        <v>96</v>
      </c>
      <c r="V176" s="3">
        <v>3</v>
      </c>
      <c r="W176" s="6">
        <v>7</v>
      </c>
      <c r="X176" s="4">
        <v>11</v>
      </c>
      <c r="Y176" s="5">
        <v>0.45</v>
      </c>
      <c r="Z176" s="5">
        <v>1</v>
      </c>
      <c r="AA176" s="3" t="s">
        <v>80</v>
      </c>
      <c r="AB176" s="3">
        <v>0</v>
      </c>
      <c r="AC176" s="3" t="s">
        <v>113</v>
      </c>
      <c r="AD176" s="3">
        <v>0</v>
      </c>
      <c r="AE176" s="3" t="s">
        <v>82</v>
      </c>
      <c r="AF176" s="3">
        <v>1</v>
      </c>
      <c r="AG176" s="3" t="s">
        <v>98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7" t="s">
        <v>563</v>
      </c>
      <c r="BX176" s="7" t="s">
        <v>119</v>
      </c>
    </row>
    <row r="177" spans="1:76">
      <c r="A177" s="3" t="s">
        <v>566</v>
      </c>
      <c r="B177" s="3">
        <v>4820</v>
      </c>
      <c r="C177" s="3" t="s">
        <v>567</v>
      </c>
      <c r="D177" s="3">
        <v>1</v>
      </c>
      <c r="E177" s="4">
        <v>52</v>
      </c>
      <c r="F177" s="3" t="s">
        <v>78</v>
      </c>
      <c r="G177" s="3">
        <v>0</v>
      </c>
      <c r="H177" s="3">
        <v>0</v>
      </c>
      <c r="I177" s="4">
        <v>56</v>
      </c>
      <c r="J177" s="4">
        <v>4</v>
      </c>
      <c r="K177" s="4">
        <v>60</v>
      </c>
      <c r="L177" s="5">
        <f>IF(F177="F",65.79,IF(F177="M",79.94,""))</f>
        <v>79.94</v>
      </c>
      <c r="M177" s="3">
        <f t="shared" si="14"/>
        <v>0</v>
      </c>
      <c r="N177" s="3" t="str">
        <f t="shared" si="15"/>
        <v>VSC-non-halitosis</v>
      </c>
      <c r="O177" s="3" t="str">
        <f t="shared" si="16"/>
        <v>Clinical- / VSC-</v>
      </c>
      <c r="P177" s="5">
        <f t="shared" si="17"/>
        <v>4.0943445622221004</v>
      </c>
      <c r="Q177" s="5">
        <f t="shared" si="18"/>
        <v>4.0430512678345503</v>
      </c>
      <c r="R177" s="5">
        <f t="shared" si="18"/>
        <v>1.6094379124341003</v>
      </c>
      <c r="S177" s="5">
        <f t="shared" si="19"/>
        <v>6.6666666666666666E-2</v>
      </c>
      <c r="T177" s="3">
        <f t="shared" si="20"/>
        <v>0</v>
      </c>
      <c r="U177" s="3" t="s">
        <v>96</v>
      </c>
      <c r="V177" s="3">
        <v>3</v>
      </c>
      <c r="W177" s="6"/>
      <c r="X177" s="4">
        <v>8</v>
      </c>
      <c r="Y177" s="5">
        <v>0.55000000000000004</v>
      </c>
      <c r="Z177" s="5">
        <v>1.8</v>
      </c>
      <c r="AA177" s="3" t="s">
        <v>80</v>
      </c>
      <c r="AB177" s="3">
        <v>0</v>
      </c>
      <c r="AC177" s="3" t="s">
        <v>138</v>
      </c>
      <c r="AD177" s="3">
        <v>1</v>
      </c>
      <c r="AE177" s="3" t="s">
        <v>103</v>
      </c>
      <c r="AF177" s="3">
        <v>1</v>
      </c>
      <c r="AG177" s="3" t="s">
        <v>82</v>
      </c>
      <c r="AH177" s="3">
        <v>1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7" t="s">
        <v>80</v>
      </c>
      <c r="BX177" s="7" t="s">
        <v>80</v>
      </c>
    </row>
    <row r="178" spans="1:76" ht="51">
      <c r="A178" s="3" t="s">
        <v>568</v>
      </c>
      <c r="B178" s="3">
        <v>4954</v>
      </c>
      <c r="C178" s="3" t="s">
        <v>569</v>
      </c>
      <c r="D178" s="3">
        <v>1</v>
      </c>
      <c r="E178" s="4">
        <v>70</v>
      </c>
      <c r="F178" s="3" t="s">
        <v>87</v>
      </c>
      <c r="G178" s="3">
        <v>0</v>
      </c>
      <c r="H178" s="3">
        <v>0</v>
      </c>
      <c r="I178" s="4">
        <v>1</v>
      </c>
      <c r="J178" s="4">
        <v>0</v>
      </c>
      <c r="K178" s="4">
        <v>1</v>
      </c>
      <c r="L178" s="5">
        <f>IF(F178="F",65.79,IF(F178="M",79.94,""))</f>
        <v>65.790000000000006</v>
      </c>
      <c r="M178" s="3">
        <f t="shared" si="14"/>
        <v>0</v>
      </c>
      <c r="N178" s="3" t="str">
        <f t="shared" si="15"/>
        <v>VSC-non-halitosis</v>
      </c>
      <c r="O178" s="3" t="str">
        <f t="shared" si="16"/>
        <v>Clinical- / VSC-</v>
      </c>
      <c r="P178" s="5">
        <f t="shared" si="17"/>
        <v>0</v>
      </c>
      <c r="Q178" s="5">
        <f t="shared" si="18"/>
        <v>0.69314718055994529</v>
      </c>
      <c r="R178" s="5">
        <f t="shared" si="18"/>
        <v>0</v>
      </c>
      <c r="S178" s="5">
        <f t="shared" si="19"/>
        <v>0</v>
      </c>
      <c r="T178" s="3">
        <f t="shared" si="20"/>
        <v>0</v>
      </c>
      <c r="U178" s="3" t="s">
        <v>102</v>
      </c>
      <c r="V178" s="3">
        <v>1</v>
      </c>
      <c r="W178" s="6">
        <v>0</v>
      </c>
      <c r="X178" s="4">
        <v>3</v>
      </c>
      <c r="Y178" s="5">
        <v>0</v>
      </c>
      <c r="Z178" s="5">
        <v>0.5</v>
      </c>
      <c r="AA178" s="3" t="s">
        <v>80</v>
      </c>
      <c r="AB178" s="3">
        <v>0</v>
      </c>
      <c r="AC178" s="3" t="s">
        <v>81</v>
      </c>
      <c r="AD178" s="3">
        <v>0</v>
      </c>
      <c r="AE178" s="3" t="s">
        <v>82</v>
      </c>
      <c r="AF178" s="3">
        <v>1</v>
      </c>
      <c r="AG178" s="3" t="s">
        <v>98</v>
      </c>
      <c r="AH178" s="3">
        <v>0</v>
      </c>
      <c r="AI178" s="3">
        <v>4</v>
      </c>
      <c r="AJ178" s="3">
        <v>2</v>
      </c>
      <c r="AK178" s="3">
        <v>0</v>
      </c>
      <c r="AL178" s="3">
        <v>1</v>
      </c>
      <c r="AM178" s="3">
        <v>1</v>
      </c>
      <c r="AN178" s="3">
        <v>0</v>
      </c>
      <c r="AO178" s="3">
        <v>0</v>
      </c>
      <c r="AP178" s="3">
        <v>1</v>
      </c>
      <c r="AQ178" s="3">
        <v>1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1</v>
      </c>
      <c r="BI178" s="3">
        <v>0</v>
      </c>
      <c r="BJ178" s="3">
        <v>0</v>
      </c>
      <c r="BK178" s="3">
        <v>1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7" t="s">
        <v>305</v>
      </c>
      <c r="BX178" s="7" t="s">
        <v>570</v>
      </c>
    </row>
    <row r="179" spans="1:76">
      <c r="A179" s="3" t="s">
        <v>571</v>
      </c>
      <c r="B179" s="3">
        <v>6157</v>
      </c>
      <c r="C179" s="3" t="s">
        <v>572</v>
      </c>
      <c r="D179" s="3">
        <v>1</v>
      </c>
      <c r="E179" s="4">
        <v>70</v>
      </c>
      <c r="F179" s="3" t="s">
        <v>87</v>
      </c>
      <c r="G179" s="3">
        <v>0</v>
      </c>
      <c r="H179" s="3">
        <v>0</v>
      </c>
      <c r="I179" s="4">
        <v>11</v>
      </c>
      <c r="J179" s="4">
        <v>2</v>
      </c>
      <c r="K179" s="4">
        <v>13</v>
      </c>
      <c r="L179" s="5">
        <f>IF(F179="F",65.79,IF(F179="M",79.94,""))</f>
        <v>65.790000000000006</v>
      </c>
      <c r="M179" s="3">
        <f t="shared" si="14"/>
        <v>0</v>
      </c>
      <c r="N179" s="3" t="str">
        <f t="shared" si="15"/>
        <v>VSC-non-halitosis</v>
      </c>
      <c r="O179" s="3" t="str">
        <f t="shared" si="16"/>
        <v>Clinical- / VSC-</v>
      </c>
      <c r="P179" s="5">
        <f t="shared" si="17"/>
        <v>2.5649493574615367</v>
      </c>
      <c r="Q179" s="5">
        <f t="shared" si="18"/>
        <v>2.4849066497880004</v>
      </c>
      <c r="R179" s="5">
        <f t="shared" si="18"/>
        <v>1.0986122886681098</v>
      </c>
      <c r="S179" s="5">
        <f t="shared" si="19"/>
        <v>0.15384615384615385</v>
      </c>
      <c r="T179" s="3">
        <f t="shared" si="20"/>
        <v>0</v>
      </c>
      <c r="U179" s="3" t="s">
        <v>79</v>
      </c>
      <c r="V179" s="3">
        <v>2</v>
      </c>
      <c r="W179" s="6">
        <v>6.6</v>
      </c>
      <c r="X179" s="4">
        <v>9</v>
      </c>
      <c r="Y179" s="5">
        <v>0.3</v>
      </c>
      <c r="Z179" s="5">
        <v>1</v>
      </c>
      <c r="AA179" s="3" t="s">
        <v>80</v>
      </c>
      <c r="AB179" s="3">
        <v>0</v>
      </c>
      <c r="AC179" s="3" t="s">
        <v>81</v>
      </c>
      <c r="AD179" s="3">
        <v>0</v>
      </c>
      <c r="AE179" s="3" t="s">
        <v>98</v>
      </c>
      <c r="AF179" s="3">
        <v>0</v>
      </c>
      <c r="AG179" s="3" t="s">
        <v>98</v>
      </c>
      <c r="AH179" s="3">
        <v>0</v>
      </c>
      <c r="AI179" s="3">
        <v>2</v>
      </c>
      <c r="AJ179" s="3">
        <v>1</v>
      </c>
      <c r="AK179" s="3">
        <v>0</v>
      </c>
      <c r="AL179" s="3">
        <v>0</v>
      </c>
      <c r="AM179" s="3">
        <v>0</v>
      </c>
      <c r="AN179" s="3">
        <v>1</v>
      </c>
      <c r="AO179" s="3">
        <v>0</v>
      </c>
      <c r="AP179" s="3">
        <v>0</v>
      </c>
      <c r="AQ179" s="3">
        <v>0</v>
      </c>
      <c r="AR179" s="3">
        <v>0</v>
      </c>
      <c r="AS179" s="3">
        <v>1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1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7" t="s">
        <v>573</v>
      </c>
      <c r="BX179" s="7" t="s">
        <v>119</v>
      </c>
    </row>
    <row r="180" spans="1:76">
      <c r="A180" s="3" t="s">
        <v>574</v>
      </c>
      <c r="B180" s="3">
        <v>4895</v>
      </c>
      <c r="C180" s="3" t="s">
        <v>575</v>
      </c>
      <c r="D180" s="3">
        <v>1</v>
      </c>
      <c r="E180" s="4">
        <v>43</v>
      </c>
      <c r="F180" s="3" t="s">
        <v>78</v>
      </c>
      <c r="G180" s="3">
        <v>0</v>
      </c>
      <c r="H180" s="3">
        <v>0</v>
      </c>
      <c r="I180" s="4">
        <v>0</v>
      </c>
      <c r="J180" s="4">
        <v>1</v>
      </c>
      <c r="K180" s="4">
        <v>1</v>
      </c>
      <c r="L180" s="5">
        <f>IF(F180="F",65.79,IF(F180="M",79.94,""))</f>
        <v>79.94</v>
      </c>
      <c r="M180" s="3">
        <f t="shared" si="14"/>
        <v>0</v>
      </c>
      <c r="N180" s="3" t="str">
        <f t="shared" si="15"/>
        <v>VSC-non-halitosis</v>
      </c>
      <c r="O180" s="3" t="str">
        <f t="shared" si="16"/>
        <v>Clinical- / VSC-</v>
      </c>
      <c r="P180" s="5">
        <f t="shared" si="17"/>
        <v>0</v>
      </c>
      <c r="Q180" s="5">
        <f t="shared" si="18"/>
        <v>0</v>
      </c>
      <c r="R180" s="5">
        <f t="shared" si="18"/>
        <v>0.69314718055994529</v>
      </c>
      <c r="S180" s="5">
        <f t="shared" si="19"/>
        <v>1</v>
      </c>
      <c r="T180" s="3">
        <f t="shared" si="20"/>
        <v>1</v>
      </c>
      <c r="U180" s="3" t="s">
        <v>102</v>
      </c>
      <c r="V180" s="3">
        <v>1</v>
      </c>
      <c r="W180" s="6"/>
      <c r="X180" s="4">
        <v>7</v>
      </c>
      <c r="Y180" s="5">
        <v>0.82499999999999996</v>
      </c>
      <c r="Z180" s="5">
        <v>2</v>
      </c>
      <c r="AA180" s="3" t="s">
        <v>80</v>
      </c>
      <c r="AB180" s="3">
        <v>0</v>
      </c>
      <c r="AC180" s="3" t="s">
        <v>81</v>
      </c>
      <c r="AD180" s="3">
        <v>0</v>
      </c>
      <c r="AE180" s="3" t="s">
        <v>98</v>
      </c>
      <c r="AF180" s="3">
        <v>0</v>
      </c>
      <c r="AG180" s="3" t="s">
        <v>98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7" t="s">
        <v>80</v>
      </c>
      <c r="BX180" s="7" t="s">
        <v>80</v>
      </c>
    </row>
    <row r="181" spans="1:76">
      <c r="A181" s="3" t="s">
        <v>576</v>
      </c>
      <c r="B181" s="3">
        <v>3021</v>
      </c>
      <c r="C181" s="3" t="s">
        <v>577</v>
      </c>
      <c r="D181" s="3">
        <v>1</v>
      </c>
      <c r="E181" s="4">
        <v>8</v>
      </c>
      <c r="F181" s="3" t="s">
        <v>78</v>
      </c>
      <c r="G181" s="3">
        <v>0</v>
      </c>
      <c r="H181" s="3">
        <v>0</v>
      </c>
      <c r="I181" s="4">
        <v>16</v>
      </c>
      <c r="J181" s="4">
        <v>2</v>
      </c>
      <c r="K181" s="4">
        <v>18</v>
      </c>
      <c r="L181" s="5">
        <f>IF(F181="F",65.79,IF(F181="M",79.94,""))</f>
        <v>79.94</v>
      </c>
      <c r="M181" s="3">
        <f t="shared" si="14"/>
        <v>0</v>
      </c>
      <c r="N181" s="3" t="str">
        <f t="shared" si="15"/>
        <v>VSC-non-halitosis</v>
      </c>
      <c r="O181" s="3" t="str">
        <f t="shared" si="16"/>
        <v>Clinical- / VSC-</v>
      </c>
      <c r="P181" s="5">
        <f t="shared" si="17"/>
        <v>2.8903717578961645</v>
      </c>
      <c r="Q181" s="5">
        <f t="shared" si="18"/>
        <v>2.8332133440562162</v>
      </c>
      <c r="R181" s="5">
        <f t="shared" si="18"/>
        <v>1.0986122886681098</v>
      </c>
      <c r="S181" s="5">
        <f t="shared" si="19"/>
        <v>0.1111111111111111</v>
      </c>
      <c r="T181" s="3">
        <f t="shared" si="20"/>
        <v>0</v>
      </c>
      <c r="U181" s="3" t="s">
        <v>79</v>
      </c>
      <c r="V181" s="3">
        <v>2</v>
      </c>
      <c r="W181" s="6">
        <v>7.6</v>
      </c>
      <c r="X181" s="4">
        <v>9</v>
      </c>
      <c r="Y181" s="5">
        <v>0.3</v>
      </c>
      <c r="Z181" s="5">
        <v>0.9</v>
      </c>
      <c r="AA181" s="3" t="s">
        <v>80</v>
      </c>
      <c r="AB181" s="3">
        <v>0</v>
      </c>
      <c r="AC181" s="3" t="s">
        <v>113</v>
      </c>
      <c r="AD181" s="3">
        <v>0</v>
      </c>
      <c r="AE181" s="3" t="s">
        <v>98</v>
      </c>
      <c r="AF181" s="3">
        <v>0</v>
      </c>
      <c r="AG181" s="3" t="s">
        <v>80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7" t="s">
        <v>119</v>
      </c>
      <c r="BX181" s="7" t="s">
        <v>119</v>
      </c>
    </row>
    <row r="182" spans="1:76">
      <c r="A182" s="3" t="s">
        <v>578</v>
      </c>
      <c r="B182" s="3">
        <v>3903</v>
      </c>
      <c r="C182" s="3" t="s">
        <v>579</v>
      </c>
      <c r="D182" s="3">
        <v>1</v>
      </c>
      <c r="E182" s="4">
        <v>63</v>
      </c>
      <c r="F182" s="3" t="s">
        <v>87</v>
      </c>
      <c r="G182" s="3">
        <v>0</v>
      </c>
      <c r="H182" s="3">
        <v>0</v>
      </c>
      <c r="I182" s="4">
        <v>56</v>
      </c>
      <c r="J182" s="4">
        <v>35</v>
      </c>
      <c r="K182" s="4">
        <v>91</v>
      </c>
      <c r="L182" s="5">
        <f>IF(F182="F",65.79,IF(F182="M",79.94,""))</f>
        <v>65.790000000000006</v>
      </c>
      <c r="M182" s="3">
        <f t="shared" si="14"/>
        <v>1</v>
      </c>
      <c r="N182" s="3" t="str">
        <f t="shared" si="15"/>
        <v>VSC-halitosis</v>
      </c>
      <c r="O182" s="3" t="str">
        <f t="shared" si="16"/>
        <v>Clinical- / VSC+</v>
      </c>
      <c r="P182" s="5">
        <f t="shared" si="17"/>
        <v>4.5108595065168497</v>
      </c>
      <c r="Q182" s="5">
        <f t="shared" si="18"/>
        <v>4.0430512678345503</v>
      </c>
      <c r="R182" s="5">
        <f t="shared" si="18"/>
        <v>3.5835189384561099</v>
      </c>
      <c r="S182" s="5">
        <f t="shared" si="19"/>
        <v>0.38461538461538464</v>
      </c>
      <c r="T182" s="3">
        <f t="shared" si="20"/>
        <v>0</v>
      </c>
      <c r="U182" s="3" t="s">
        <v>96</v>
      </c>
      <c r="V182" s="3">
        <v>3</v>
      </c>
      <c r="W182" s="6">
        <v>6.6</v>
      </c>
      <c r="X182" s="4">
        <v>12</v>
      </c>
      <c r="Y182" s="5">
        <v>0.2</v>
      </c>
      <c r="Z182" s="5">
        <v>0.7</v>
      </c>
      <c r="AA182" s="3" t="s">
        <v>80</v>
      </c>
      <c r="AB182" s="3">
        <v>0</v>
      </c>
      <c r="AC182" s="3" t="s">
        <v>81</v>
      </c>
      <c r="AD182" s="3">
        <v>0</v>
      </c>
      <c r="AE182" s="3" t="s">
        <v>82</v>
      </c>
      <c r="AF182" s="3">
        <v>1</v>
      </c>
      <c r="AG182" s="3" t="s">
        <v>82</v>
      </c>
      <c r="AH182" s="3">
        <v>1</v>
      </c>
      <c r="AI182" s="3">
        <v>2</v>
      </c>
      <c r="AJ182" s="3">
        <v>2</v>
      </c>
      <c r="AK182" s="3">
        <v>1</v>
      </c>
      <c r="AL182" s="3">
        <v>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1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1</v>
      </c>
      <c r="BG182" s="3">
        <v>1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7" t="s">
        <v>580</v>
      </c>
      <c r="BX182" s="7" t="s">
        <v>581</v>
      </c>
    </row>
    <row r="183" spans="1:76">
      <c r="A183" s="3" t="s">
        <v>582</v>
      </c>
      <c r="B183" s="3">
        <v>3658</v>
      </c>
      <c r="C183" s="3" t="s">
        <v>583</v>
      </c>
      <c r="D183" s="3">
        <v>1</v>
      </c>
      <c r="E183" s="4">
        <v>64</v>
      </c>
      <c r="F183" s="3" t="s">
        <v>87</v>
      </c>
      <c r="G183" s="3">
        <v>0</v>
      </c>
      <c r="H183" s="3">
        <v>0</v>
      </c>
      <c r="I183" s="4">
        <v>58</v>
      </c>
      <c r="J183" s="4">
        <v>8</v>
      </c>
      <c r="K183" s="4">
        <v>66</v>
      </c>
      <c r="L183" s="5">
        <f>IF(F183="F",65.79,IF(F183="M",79.94,""))</f>
        <v>65.790000000000006</v>
      </c>
      <c r="M183" s="3">
        <f t="shared" si="14"/>
        <v>1</v>
      </c>
      <c r="N183" s="3" t="str">
        <f t="shared" si="15"/>
        <v>VSC-halitosis</v>
      </c>
      <c r="O183" s="3" t="str">
        <f t="shared" si="16"/>
        <v>Clinical- / VSC+</v>
      </c>
      <c r="P183" s="5">
        <f t="shared" si="17"/>
        <v>4.1896547420264252</v>
      </c>
      <c r="Q183" s="5">
        <f t="shared" si="18"/>
        <v>4.0775374439057197</v>
      </c>
      <c r="R183" s="5">
        <f t="shared" si="18"/>
        <v>2.1972245773362196</v>
      </c>
      <c r="S183" s="5">
        <f t="shared" si="19"/>
        <v>0.12121212121212122</v>
      </c>
      <c r="T183" s="3">
        <f t="shared" si="20"/>
        <v>0</v>
      </c>
      <c r="U183" s="3" t="s">
        <v>96</v>
      </c>
      <c r="V183" s="3">
        <v>3</v>
      </c>
      <c r="W183" s="6">
        <v>7</v>
      </c>
      <c r="X183" s="4">
        <v>6</v>
      </c>
      <c r="Y183" s="5">
        <v>0.5</v>
      </c>
      <c r="Z183" s="5">
        <v>0.6</v>
      </c>
      <c r="AA183" s="3" t="s">
        <v>80</v>
      </c>
      <c r="AB183" s="3">
        <v>0</v>
      </c>
      <c r="AC183" s="3" t="s">
        <v>81</v>
      </c>
      <c r="AD183" s="3">
        <v>0</v>
      </c>
      <c r="AE183" s="3" t="s">
        <v>98</v>
      </c>
      <c r="AF183" s="3">
        <v>0</v>
      </c>
      <c r="AG183" s="3" t="s">
        <v>82</v>
      </c>
      <c r="AH183" s="3">
        <v>1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7" t="s">
        <v>584</v>
      </c>
      <c r="BX183" s="7" t="s">
        <v>119</v>
      </c>
    </row>
    <row r="184" spans="1:76">
      <c r="A184" s="3" t="s">
        <v>585</v>
      </c>
      <c r="B184" s="3">
        <v>3226</v>
      </c>
      <c r="C184" s="3" t="s">
        <v>586</v>
      </c>
      <c r="D184" s="3">
        <v>2</v>
      </c>
      <c r="E184" s="4">
        <v>85</v>
      </c>
      <c r="F184" s="3" t="s">
        <v>87</v>
      </c>
      <c r="G184" s="3">
        <v>0</v>
      </c>
      <c r="H184" s="3">
        <v>0</v>
      </c>
      <c r="I184" s="4">
        <v>184</v>
      </c>
      <c r="J184" s="4">
        <v>3</v>
      </c>
      <c r="K184" s="4">
        <v>187</v>
      </c>
      <c r="L184" s="5">
        <f>IF(F184="F",65.79,IF(F184="M",79.94,""))</f>
        <v>65.790000000000006</v>
      </c>
      <c r="M184" s="3">
        <f t="shared" si="14"/>
        <v>1</v>
      </c>
      <c r="N184" s="3" t="str">
        <f t="shared" si="15"/>
        <v>VSC-halitosis</v>
      </c>
      <c r="O184" s="3" t="str">
        <f t="shared" si="16"/>
        <v>Clinical- / VSC+</v>
      </c>
      <c r="P184" s="5">
        <f t="shared" si="17"/>
        <v>5.2311086168545868</v>
      </c>
      <c r="Q184" s="5">
        <f t="shared" si="18"/>
        <v>5.2203558250783244</v>
      </c>
      <c r="R184" s="5">
        <f t="shared" si="18"/>
        <v>1.3862943611198906</v>
      </c>
      <c r="S184" s="5">
        <f t="shared" si="19"/>
        <v>1.6042780748663103E-2</v>
      </c>
      <c r="T184" s="3">
        <f t="shared" si="20"/>
        <v>0</v>
      </c>
      <c r="U184" s="3" t="s">
        <v>96</v>
      </c>
      <c r="V184" s="3">
        <v>3</v>
      </c>
      <c r="W184" s="6">
        <v>5.6</v>
      </c>
      <c r="X184" s="4">
        <v>4</v>
      </c>
      <c r="Y184" s="5">
        <v>0</v>
      </c>
      <c r="Z184" s="5">
        <v>0.6</v>
      </c>
      <c r="AA184" s="3" t="s">
        <v>108</v>
      </c>
      <c r="AB184" s="3">
        <v>1</v>
      </c>
      <c r="AC184" s="3" t="s">
        <v>81</v>
      </c>
      <c r="AD184" s="3">
        <v>0</v>
      </c>
      <c r="AE184" s="3" t="s">
        <v>98</v>
      </c>
      <c r="AF184" s="3">
        <v>0</v>
      </c>
      <c r="AG184" s="3" t="s">
        <v>103</v>
      </c>
      <c r="AH184" s="3">
        <v>1</v>
      </c>
      <c r="AI184" s="3">
        <v>1</v>
      </c>
      <c r="AJ184" s="3">
        <v>0</v>
      </c>
      <c r="AK184" s="3">
        <v>0</v>
      </c>
      <c r="AL184" s="3">
        <v>1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7" t="s">
        <v>587</v>
      </c>
      <c r="BX184" s="7" t="s">
        <v>119</v>
      </c>
    </row>
    <row r="185" spans="1:76">
      <c r="A185" s="3" t="s">
        <v>588</v>
      </c>
      <c r="B185" s="3">
        <v>3226</v>
      </c>
      <c r="C185" s="3" t="s">
        <v>586</v>
      </c>
      <c r="D185" s="3">
        <v>2</v>
      </c>
      <c r="E185" s="4">
        <v>85</v>
      </c>
      <c r="F185" s="3" t="s">
        <v>87</v>
      </c>
      <c r="G185" s="3">
        <v>0</v>
      </c>
      <c r="H185" s="3">
        <v>0</v>
      </c>
      <c r="I185" s="4">
        <v>225</v>
      </c>
      <c r="J185" s="4">
        <v>11</v>
      </c>
      <c r="K185" s="4">
        <v>236</v>
      </c>
      <c r="L185" s="5">
        <f>IF(F185="F",65.79,IF(F185="M",79.94,""))</f>
        <v>65.790000000000006</v>
      </c>
      <c r="M185" s="3">
        <f t="shared" si="14"/>
        <v>1</v>
      </c>
      <c r="N185" s="3" t="str">
        <f t="shared" si="15"/>
        <v>VSC-halitosis</v>
      </c>
      <c r="O185" s="3" t="str">
        <f t="shared" si="16"/>
        <v>Clinical- / VSC+</v>
      </c>
      <c r="P185" s="5">
        <f t="shared" si="17"/>
        <v>5.4638318050256105</v>
      </c>
      <c r="Q185" s="5">
        <f t="shared" si="18"/>
        <v>5.4205349992722862</v>
      </c>
      <c r="R185" s="5">
        <f t="shared" si="18"/>
        <v>2.4849066497880004</v>
      </c>
      <c r="S185" s="5">
        <f t="shared" si="19"/>
        <v>4.6610169491525424E-2</v>
      </c>
      <c r="T185" s="3">
        <f t="shared" si="20"/>
        <v>0</v>
      </c>
      <c r="U185" s="3" t="s">
        <v>96</v>
      </c>
      <c r="V185" s="3">
        <v>3</v>
      </c>
      <c r="W185" s="6">
        <v>5.6</v>
      </c>
      <c r="X185" s="4">
        <v>4</v>
      </c>
      <c r="Y185" s="5">
        <v>0</v>
      </c>
      <c r="Z185" s="5">
        <v>0.6</v>
      </c>
      <c r="AA185" s="3" t="s">
        <v>108</v>
      </c>
      <c r="AB185" s="3">
        <v>1</v>
      </c>
      <c r="AC185" s="3" t="s">
        <v>81</v>
      </c>
      <c r="AD185" s="3">
        <v>0</v>
      </c>
      <c r="AE185" s="3" t="s">
        <v>98</v>
      </c>
      <c r="AF185" s="3">
        <v>0</v>
      </c>
      <c r="AG185" s="3" t="s">
        <v>103</v>
      </c>
      <c r="AH185" s="3">
        <v>1</v>
      </c>
      <c r="AI185" s="3">
        <v>1</v>
      </c>
      <c r="AJ185" s="3">
        <v>0</v>
      </c>
      <c r="AK185" s="3">
        <v>0</v>
      </c>
      <c r="AL185" s="3">
        <v>1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7" t="s">
        <v>587</v>
      </c>
      <c r="BX185" s="7" t="s">
        <v>119</v>
      </c>
    </row>
    <row r="186" spans="1:76" ht="34">
      <c r="A186" s="3" t="s">
        <v>589</v>
      </c>
      <c r="B186" s="3">
        <v>4425</v>
      </c>
      <c r="C186" s="3" t="s">
        <v>590</v>
      </c>
      <c r="D186" s="3">
        <v>1</v>
      </c>
      <c r="E186" s="4">
        <v>84</v>
      </c>
      <c r="F186" s="3" t="s">
        <v>87</v>
      </c>
      <c r="G186" s="3">
        <v>0</v>
      </c>
      <c r="H186" s="3">
        <v>0</v>
      </c>
      <c r="I186" s="4">
        <v>0</v>
      </c>
      <c r="J186" s="4">
        <v>1</v>
      </c>
      <c r="K186" s="4">
        <v>1</v>
      </c>
      <c r="L186" s="5">
        <f>IF(F186="F",65.79,IF(F186="M",79.94,""))</f>
        <v>65.790000000000006</v>
      </c>
      <c r="M186" s="3">
        <f t="shared" si="14"/>
        <v>0</v>
      </c>
      <c r="N186" s="3" t="str">
        <f t="shared" si="15"/>
        <v>VSC-non-halitosis</v>
      </c>
      <c r="O186" s="3" t="str">
        <f t="shared" si="16"/>
        <v>Clinical- / VSC-</v>
      </c>
      <c r="P186" s="5">
        <f t="shared" si="17"/>
        <v>0</v>
      </c>
      <c r="Q186" s="5">
        <f t="shared" si="18"/>
        <v>0</v>
      </c>
      <c r="R186" s="5">
        <f t="shared" si="18"/>
        <v>0.69314718055994529</v>
      </c>
      <c r="S186" s="5">
        <f t="shared" si="19"/>
        <v>1</v>
      </c>
      <c r="T186" s="3">
        <f t="shared" si="20"/>
        <v>1</v>
      </c>
      <c r="U186" s="3" t="s">
        <v>102</v>
      </c>
      <c r="V186" s="3">
        <v>1</v>
      </c>
      <c r="W186" s="6">
        <v>6.2</v>
      </c>
      <c r="X186" s="4">
        <v>8</v>
      </c>
      <c r="Y186" s="5">
        <v>0.2</v>
      </c>
      <c r="Z186" s="5">
        <v>1</v>
      </c>
      <c r="AA186" s="3" t="s">
        <v>88</v>
      </c>
      <c r="AB186" s="3">
        <v>0</v>
      </c>
      <c r="AC186" s="3" t="s">
        <v>81</v>
      </c>
      <c r="AD186" s="3">
        <v>0</v>
      </c>
      <c r="AE186" s="3" t="s">
        <v>98</v>
      </c>
      <c r="AF186" s="3">
        <v>0</v>
      </c>
      <c r="AG186" s="3" t="s">
        <v>98</v>
      </c>
      <c r="AH186" s="3">
        <v>0</v>
      </c>
      <c r="AI186" s="3">
        <v>3</v>
      </c>
      <c r="AJ186" s="3">
        <v>1</v>
      </c>
      <c r="AK186" s="3">
        <v>1</v>
      </c>
      <c r="AL186" s="3">
        <v>1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1</v>
      </c>
      <c r="BC186" s="3">
        <v>1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1</v>
      </c>
      <c r="BV186" s="3">
        <v>0</v>
      </c>
      <c r="BW186" s="7" t="s">
        <v>591</v>
      </c>
      <c r="BX186" s="7" t="s">
        <v>592</v>
      </c>
    </row>
    <row r="187" spans="1:76">
      <c r="A187" s="3" t="s">
        <v>593</v>
      </c>
      <c r="B187" s="3">
        <v>5444</v>
      </c>
      <c r="C187" s="3" t="s">
        <v>594</v>
      </c>
      <c r="D187" s="3">
        <v>1</v>
      </c>
      <c r="E187" s="4">
        <v>62</v>
      </c>
      <c r="F187" s="3" t="s">
        <v>87</v>
      </c>
      <c r="G187" s="3">
        <v>0</v>
      </c>
      <c r="H187" s="3">
        <v>0</v>
      </c>
      <c r="I187" s="4">
        <v>0</v>
      </c>
      <c r="J187" s="4">
        <v>1</v>
      </c>
      <c r="K187" s="4">
        <v>1</v>
      </c>
      <c r="L187" s="5">
        <f>IF(F187="F",65.79,IF(F187="M",79.94,""))</f>
        <v>65.790000000000006</v>
      </c>
      <c r="M187" s="3">
        <f t="shared" si="14"/>
        <v>0</v>
      </c>
      <c r="N187" s="3" t="str">
        <f t="shared" si="15"/>
        <v>VSC-non-halitosis</v>
      </c>
      <c r="O187" s="3" t="str">
        <f t="shared" si="16"/>
        <v>Clinical- / VSC-</v>
      </c>
      <c r="P187" s="5">
        <f t="shared" si="17"/>
        <v>0</v>
      </c>
      <c r="Q187" s="5">
        <f t="shared" si="18"/>
        <v>0</v>
      </c>
      <c r="R187" s="5">
        <f t="shared" si="18"/>
        <v>0.69314718055994529</v>
      </c>
      <c r="S187" s="5">
        <f t="shared" si="19"/>
        <v>1</v>
      </c>
      <c r="T187" s="3">
        <f t="shared" si="20"/>
        <v>1</v>
      </c>
      <c r="U187" s="3" t="s">
        <v>102</v>
      </c>
      <c r="V187" s="3">
        <v>1</v>
      </c>
      <c r="W187" s="6">
        <v>5.8</v>
      </c>
      <c r="X187" s="4">
        <v>8</v>
      </c>
      <c r="Y187" s="5">
        <v>0.4</v>
      </c>
      <c r="Z187" s="5">
        <v>1.2</v>
      </c>
      <c r="AA187" s="3" t="s">
        <v>80</v>
      </c>
      <c r="AB187" s="3">
        <v>0</v>
      </c>
      <c r="AC187" s="3" t="s">
        <v>81</v>
      </c>
      <c r="AD187" s="3">
        <v>0</v>
      </c>
      <c r="AE187" s="3" t="s">
        <v>82</v>
      </c>
      <c r="AF187" s="3">
        <v>1</v>
      </c>
      <c r="AG187" s="3" t="s">
        <v>82</v>
      </c>
      <c r="AH187" s="3">
        <v>1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7" t="s">
        <v>119</v>
      </c>
      <c r="BX187" s="7" t="s">
        <v>119</v>
      </c>
    </row>
    <row r="188" spans="1:76" ht="34">
      <c r="A188" s="3" t="s">
        <v>595</v>
      </c>
      <c r="B188" s="3">
        <v>6411</v>
      </c>
      <c r="C188" s="3" t="s">
        <v>596</v>
      </c>
      <c r="D188" s="3">
        <v>1</v>
      </c>
      <c r="E188" s="4">
        <v>50</v>
      </c>
      <c r="F188" s="3" t="s">
        <v>78</v>
      </c>
      <c r="G188" s="3">
        <v>1</v>
      </c>
      <c r="H188" s="3">
        <v>0</v>
      </c>
      <c r="I188" s="4">
        <v>2</v>
      </c>
      <c r="J188" s="4">
        <v>2</v>
      </c>
      <c r="K188" s="4">
        <v>4</v>
      </c>
      <c r="L188" s="5">
        <f>IF(F188="F",65.79,IF(F188="M",79.94,""))</f>
        <v>79.94</v>
      </c>
      <c r="M188" s="3">
        <f t="shared" si="14"/>
        <v>0</v>
      </c>
      <c r="N188" s="3" t="str">
        <f t="shared" si="15"/>
        <v>VSC-non-halitosis</v>
      </c>
      <c r="O188" s="3" t="str">
        <f t="shared" si="16"/>
        <v>Clinical+ / VSC-</v>
      </c>
      <c r="P188" s="5">
        <f t="shared" si="17"/>
        <v>1.3862943611198906</v>
      </c>
      <c r="Q188" s="5">
        <f t="shared" si="18"/>
        <v>1.0986122886681098</v>
      </c>
      <c r="R188" s="5">
        <f t="shared" si="18"/>
        <v>1.0986122886681098</v>
      </c>
      <c r="S188" s="5">
        <f t="shared" si="19"/>
        <v>0.5</v>
      </c>
      <c r="T188" s="3">
        <f t="shared" si="20"/>
        <v>0</v>
      </c>
      <c r="U188" s="3" t="s">
        <v>79</v>
      </c>
      <c r="V188" s="3">
        <v>2</v>
      </c>
      <c r="W188" s="6">
        <v>6.2</v>
      </c>
      <c r="X188" s="4">
        <v>12</v>
      </c>
      <c r="Y188" s="5">
        <v>0.5</v>
      </c>
      <c r="Z188" s="5">
        <v>1.4</v>
      </c>
      <c r="AA188" s="3" t="s">
        <v>80</v>
      </c>
      <c r="AB188" s="3">
        <v>0</v>
      </c>
      <c r="AC188" s="3" t="s">
        <v>81</v>
      </c>
      <c r="AD188" s="3">
        <v>0</v>
      </c>
      <c r="AE188" s="3" t="s">
        <v>82</v>
      </c>
      <c r="AF188" s="3">
        <v>1</v>
      </c>
      <c r="AG188" s="3" t="s">
        <v>82</v>
      </c>
      <c r="AH188" s="3">
        <v>1</v>
      </c>
      <c r="AI188" s="3">
        <v>2</v>
      </c>
      <c r="AJ188" s="3">
        <v>1</v>
      </c>
      <c r="AK188" s="3">
        <v>0</v>
      </c>
      <c r="AL188" s="3">
        <v>0</v>
      </c>
      <c r="AM188" s="3">
        <v>1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1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1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7" t="s">
        <v>597</v>
      </c>
      <c r="BX188" s="7" t="s">
        <v>598</v>
      </c>
    </row>
    <row r="189" spans="1:76">
      <c r="A189" s="3" t="s">
        <v>599</v>
      </c>
      <c r="B189" s="3">
        <v>4039</v>
      </c>
      <c r="C189" s="3" t="s">
        <v>600</v>
      </c>
      <c r="D189" s="3">
        <v>1</v>
      </c>
      <c r="E189" s="4">
        <v>84</v>
      </c>
      <c r="F189" s="3" t="s">
        <v>87</v>
      </c>
      <c r="G189" s="3">
        <v>0</v>
      </c>
      <c r="H189" s="3">
        <v>0</v>
      </c>
      <c r="I189" s="4">
        <v>2</v>
      </c>
      <c r="J189" s="4">
        <v>0</v>
      </c>
      <c r="K189" s="4">
        <v>2</v>
      </c>
      <c r="L189" s="5">
        <f>IF(F189="F",65.79,IF(F189="M",79.94,""))</f>
        <v>65.790000000000006</v>
      </c>
      <c r="M189" s="3">
        <f t="shared" si="14"/>
        <v>0</v>
      </c>
      <c r="N189" s="3" t="str">
        <f t="shared" si="15"/>
        <v>VSC-non-halitosis</v>
      </c>
      <c r="O189" s="3" t="str">
        <f t="shared" si="16"/>
        <v>Clinical- / VSC-</v>
      </c>
      <c r="P189" s="5">
        <f t="shared" si="17"/>
        <v>0.69314718055994529</v>
      </c>
      <c r="Q189" s="5">
        <f t="shared" si="18"/>
        <v>1.0986122886681098</v>
      </c>
      <c r="R189" s="5">
        <f t="shared" si="18"/>
        <v>0</v>
      </c>
      <c r="S189" s="5">
        <f t="shared" si="19"/>
        <v>0</v>
      </c>
      <c r="T189" s="3">
        <f t="shared" si="20"/>
        <v>0</v>
      </c>
      <c r="U189" s="3" t="s">
        <v>102</v>
      </c>
      <c r="V189" s="3">
        <v>1</v>
      </c>
      <c r="W189" s="6">
        <v>6.4</v>
      </c>
      <c r="X189" s="4">
        <v>12</v>
      </c>
      <c r="Y189" s="5">
        <v>0.25</v>
      </c>
      <c r="Z189" s="5">
        <v>1.5</v>
      </c>
      <c r="AA189" s="3" t="s">
        <v>601</v>
      </c>
      <c r="AB189" s="3">
        <v>0</v>
      </c>
      <c r="AC189" s="3" t="s">
        <v>81</v>
      </c>
      <c r="AD189" s="3">
        <v>0</v>
      </c>
      <c r="AE189" s="3" t="s">
        <v>82</v>
      </c>
      <c r="AF189" s="3">
        <v>1</v>
      </c>
      <c r="AG189" s="3" t="s">
        <v>82</v>
      </c>
      <c r="AH189" s="3">
        <v>1</v>
      </c>
      <c r="AI189" s="3">
        <v>1</v>
      </c>
      <c r="AJ189" s="3">
        <v>1</v>
      </c>
      <c r="AK189" s="3">
        <v>0</v>
      </c>
      <c r="AL189" s="3">
        <v>0</v>
      </c>
      <c r="AM189" s="3">
        <v>1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1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7" t="s">
        <v>602</v>
      </c>
      <c r="BX189" s="7" t="s">
        <v>603</v>
      </c>
    </row>
    <row r="190" spans="1:76">
      <c r="A190" s="3" t="s">
        <v>604</v>
      </c>
      <c r="B190" s="3">
        <v>3704</v>
      </c>
      <c r="C190" s="3" t="s">
        <v>605</v>
      </c>
      <c r="D190" s="3">
        <v>8</v>
      </c>
      <c r="E190" s="4">
        <v>65</v>
      </c>
      <c r="F190" s="3" t="s">
        <v>78</v>
      </c>
      <c r="G190" s="3">
        <v>0</v>
      </c>
      <c r="H190" s="3">
        <v>0</v>
      </c>
      <c r="I190" s="4">
        <v>7</v>
      </c>
      <c r="J190" s="4">
        <v>2</v>
      </c>
      <c r="K190" s="4">
        <v>9</v>
      </c>
      <c r="L190" s="5">
        <f>IF(F190="F",65.79,IF(F190="M",79.94,""))</f>
        <v>79.94</v>
      </c>
      <c r="M190" s="3">
        <f t="shared" si="14"/>
        <v>0</v>
      </c>
      <c r="N190" s="3" t="str">
        <f t="shared" si="15"/>
        <v>VSC-non-halitosis</v>
      </c>
      <c r="O190" s="3" t="str">
        <f t="shared" si="16"/>
        <v>Clinical- / VSC-</v>
      </c>
      <c r="P190" s="5">
        <f t="shared" si="17"/>
        <v>2.1972245773362196</v>
      </c>
      <c r="Q190" s="5">
        <f t="shared" si="18"/>
        <v>2.0794415416798357</v>
      </c>
      <c r="R190" s="5">
        <f t="shared" si="18"/>
        <v>1.0986122886681098</v>
      </c>
      <c r="S190" s="5">
        <f t="shared" si="19"/>
        <v>0.22222222222222221</v>
      </c>
      <c r="T190" s="3">
        <f t="shared" si="20"/>
        <v>0</v>
      </c>
      <c r="U190" s="3" t="s">
        <v>79</v>
      </c>
      <c r="V190" s="3">
        <v>2</v>
      </c>
      <c r="W190" s="6">
        <v>6.4</v>
      </c>
      <c r="X190" s="4"/>
      <c r="Y190" s="5">
        <v>0.25</v>
      </c>
      <c r="Z190" s="5"/>
      <c r="AA190" s="3" t="s">
        <v>80</v>
      </c>
      <c r="AB190" s="3">
        <v>0</v>
      </c>
      <c r="AC190" s="3" t="s">
        <v>81</v>
      </c>
      <c r="AD190" s="3">
        <v>0</v>
      </c>
      <c r="AE190" s="3" t="s">
        <v>98</v>
      </c>
      <c r="AF190" s="3">
        <v>0</v>
      </c>
      <c r="AG190" s="3" t="s">
        <v>98</v>
      </c>
      <c r="AH190" s="3">
        <v>0</v>
      </c>
      <c r="AI190" s="3">
        <v>2</v>
      </c>
      <c r="AJ190" s="3">
        <v>1</v>
      </c>
      <c r="AK190" s="3">
        <v>0</v>
      </c>
      <c r="AL190" s="3">
        <v>1</v>
      </c>
      <c r="AM190" s="3">
        <v>0</v>
      </c>
      <c r="AN190" s="3">
        <v>1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1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7" t="s">
        <v>186</v>
      </c>
      <c r="BX190" s="7" t="s">
        <v>606</v>
      </c>
    </row>
    <row r="191" spans="1:76" ht="68">
      <c r="A191" s="3" t="s">
        <v>607</v>
      </c>
      <c r="B191" s="3">
        <v>6636</v>
      </c>
      <c r="C191" s="3" t="s">
        <v>605</v>
      </c>
      <c r="D191" s="3">
        <v>8</v>
      </c>
      <c r="E191" s="4">
        <v>65</v>
      </c>
      <c r="F191" s="3" t="s">
        <v>78</v>
      </c>
      <c r="G191" s="3">
        <v>0</v>
      </c>
      <c r="H191" s="3">
        <v>0</v>
      </c>
      <c r="I191" s="4">
        <v>7</v>
      </c>
      <c r="J191" s="4">
        <v>2</v>
      </c>
      <c r="K191" s="4">
        <v>9</v>
      </c>
      <c r="L191" s="5">
        <f>IF(F191="F",65.79,IF(F191="M",79.94,""))</f>
        <v>79.94</v>
      </c>
      <c r="M191" s="3">
        <f t="shared" si="14"/>
        <v>0</v>
      </c>
      <c r="N191" s="3" t="str">
        <f t="shared" si="15"/>
        <v>VSC-non-halitosis</v>
      </c>
      <c r="O191" s="3" t="str">
        <f t="shared" si="16"/>
        <v>Clinical- / VSC-</v>
      </c>
      <c r="P191" s="5">
        <f t="shared" si="17"/>
        <v>2.1972245773362196</v>
      </c>
      <c r="Q191" s="5">
        <f t="shared" si="18"/>
        <v>2.0794415416798357</v>
      </c>
      <c r="R191" s="5">
        <f t="shared" si="18"/>
        <v>1.0986122886681098</v>
      </c>
      <c r="S191" s="5">
        <f t="shared" si="19"/>
        <v>0.22222222222222221</v>
      </c>
      <c r="T191" s="3">
        <f t="shared" si="20"/>
        <v>0</v>
      </c>
      <c r="U191" s="3" t="s">
        <v>79</v>
      </c>
      <c r="V191" s="3">
        <v>2</v>
      </c>
      <c r="W191" s="6">
        <v>6.4</v>
      </c>
      <c r="X191" s="4"/>
      <c r="Y191" s="5">
        <v>0.25</v>
      </c>
      <c r="Z191" s="5"/>
      <c r="AA191" s="3" t="s">
        <v>80</v>
      </c>
      <c r="AB191" s="3">
        <v>0</v>
      </c>
      <c r="AC191" s="3" t="s">
        <v>81</v>
      </c>
      <c r="AD191" s="3">
        <v>0</v>
      </c>
      <c r="AE191" s="3" t="s">
        <v>82</v>
      </c>
      <c r="AF191" s="3">
        <v>1</v>
      </c>
      <c r="AG191" s="3" t="s">
        <v>82</v>
      </c>
      <c r="AH191" s="3">
        <v>1</v>
      </c>
      <c r="AI191" s="3">
        <v>4</v>
      </c>
      <c r="AJ191" s="3">
        <v>3</v>
      </c>
      <c r="AK191" s="3">
        <v>2</v>
      </c>
      <c r="AL191" s="3">
        <v>1</v>
      </c>
      <c r="AM191" s="3">
        <v>0</v>
      </c>
      <c r="AN191" s="3">
        <v>1</v>
      </c>
      <c r="AO191" s="3">
        <v>0</v>
      </c>
      <c r="AP191" s="3">
        <v>0</v>
      </c>
      <c r="AQ191" s="3">
        <v>0</v>
      </c>
      <c r="AR191" s="3">
        <v>0</v>
      </c>
      <c r="AS191" s="3">
        <v>1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1</v>
      </c>
      <c r="BB191" s="3">
        <v>0</v>
      </c>
      <c r="BC191" s="3">
        <v>0</v>
      </c>
      <c r="BD191" s="3">
        <v>0</v>
      </c>
      <c r="BE191" s="3">
        <v>0</v>
      </c>
      <c r="BF191" s="3">
        <v>1</v>
      </c>
      <c r="BG191" s="3">
        <v>1</v>
      </c>
      <c r="BH191" s="3">
        <v>0</v>
      </c>
      <c r="BI191" s="3">
        <v>0</v>
      </c>
      <c r="BJ191" s="3">
        <v>1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7" t="s">
        <v>608</v>
      </c>
      <c r="BX191" s="7" t="s">
        <v>80</v>
      </c>
    </row>
    <row r="192" spans="1:76">
      <c r="A192" s="3" t="s">
        <v>609</v>
      </c>
      <c r="B192" s="3">
        <v>3704</v>
      </c>
      <c r="C192" s="3" t="s">
        <v>605</v>
      </c>
      <c r="D192" s="3">
        <v>8</v>
      </c>
      <c r="E192" s="4">
        <v>65</v>
      </c>
      <c r="F192" s="3" t="s">
        <v>78</v>
      </c>
      <c r="G192" s="3">
        <v>0</v>
      </c>
      <c r="H192" s="3">
        <v>0</v>
      </c>
      <c r="I192" s="4">
        <v>7</v>
      </c>
      <c r="J192" s="4">
        <v>2</v>
      </c>
      <c r="K192" s="4">
        <v>9</v>
      </c>
      <c r="L192" s="5">
        <f>IF(F192="F",65.79,IF(F192="M",79.94,""))</f>
        <v>79.94</v>
      </c>
      <c r="M192" s="3">
        <f t="shared" si="14"/>
        <v>0</v>
      </c>
      <c r="N192" s="3" t="str">
        <f t="shared" si="15"/>
        <v>VSC-non-halitosis</v>
      </c>
      <c r="O192" s="3" t="str">
        <f t="shared" si="16"/>
        <v>Clinical- / VSC-</v>
      </c>
      <c r="P192" s="5">
        <f t="shared" si="17"/>
        <v>2.1972245773362196</v>
      </c>
      <c r="Q192" s="5">
        <f t="shared" si="18"/>
        <v>2.0794415416798357</v>
      </c>
      <c r="R192" s="5">
        <f t="shared" si="18"/>
        <v>1.0986122886681098</v>
      </c>
      <c r="S192" s="5">
        <f t="shared" si="19"/>
        <v>0.22222222222222221</v>
      </c>
      <c r="T192" s="3">
        <f t="shared" si="20"/>
        <v>0</v>
      </c>
      <c r="U192" s="3" t="s">
        <v>79</v>
      </c>
      <c r="V192" s="3">
        <v>2</v>
      </c>
      <c r="W192" s="6">
        <v>6.2</v>
      </c>
      <c r="X192" s="4">
        <v>12</v>
      </c>
      <c r="Y192" s="5">
        <v>0.3</v>
      </c>
      <c r="Z192" s="5">
        <v>3.4</v>
      </c>
      <c r="AA192" s="3" t="s">
        <v>80</v>
      </c>
      <c r="AB192" s="3">
        <v>0</v>
      </c>
      <c r="AC192" s="3" t="s">
        <v>81</v>
      </c>
      <c r="AD192" s="3">
        <v>0</v>
      </c>
      <c r="AE192" s="3" t="s">
        <v>98</v>
      </c>
      <c r="AF192" s="3">
        <v>0</v>
      </c>
      <c r="AG192" s="3" t="s">
        <v>98</v>
      </c>
      <c r="AH192" s="3">
        <v>0</v>
      </c>
      <c r="AI192" s="3">
        <v>2</v>
      </c>
      <c r="AJ192" s="3">
        <v>1</v>
      </c>
      <c r="AK192" s="3">
        <v>0</v>
      </c>
      <c r="AL192" s="3">
        <v>1</v>
      </c>
      <c r="AM192" s="3">
        <v>0</v>
      </c>
      <c r="AN192" s="3">
        <v>1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1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7" t="s">
        <v>186</v>
      </c>
      <c r="BX192" s="7" t="s">
        <v>606</v>
      </c>
    </row>
    <row r="193" spans="1:76" ht="68">
      <c r="A193" s="3" t="s">
        <v>610</v>
      </c>
      <c r="B193" s="3">
        <v>6636</v>
      </c>
      <c r="C193" s="3" t="s">
        <v>605</v>
      </c>
      <c r="D193" s="3">
        <v>8</v>
      </c>
      <c r="E193" s="4">
        <v>65</v>
      </c>
      <c r="F193" s="3" t="s">
        <v>78</v>
      </c>
      <c r="G193" s="3">
        <v>0</v>
      </c>
      <c r="H193" s="3">
        <v>0</v>
      </c>
      <c r="I193" s="4">
        <v>7</v>
      </c>
      <c r="J193" s="4">
        <v>2</v>
      </c>
      <c r="K193" s="4">
        <v>9</v>
      </c>
      <c r="L193" s="5">
        <f>IF(F193="F",65.79,IF(F193="M",79.94,""))</f>
        <v>79.94</v>
      </c>
      <c r="M193" s="3">
        <f t="shared" si="14"/>
        <v>0</v>
      </c>
      <c r="N193" s="3" t="str">
        <f t="shared" si="15"/>
        <v>VSC-non-halitosis</v>
      </c>
      <c r="O193" s="3" t="str">
        <f t="shared" si="16"/>
        <v>Clinical- / VSC-</v>
      </c>
      <c r="P193" s="5">
        <f t="shared" si="17"/>
        <v>2.1972245773362196</v>
      </c>
      <c r="Q193" s="5">
        <f t="shared" si="18"/>
        <v>2.0794415416798357</v>
      </c>
      <c r="R193" s="5">
        <f t="shared" si="18"/>
        <v>1.0986122886681098</v>
      </c>
      <c r="S193" s="5">
        <f t="shared" si="19"/>
        <v>0.22222222222222221</v>
      </c>
      <c r="T193" s="3">
        <f t="shared" si="20"/>
        <v>0</v>
      </c>
      <c r="U193" s="3" t="s">
        <v>79</v>
      </c>
      <c r="V193" s="3">
        <v>2</v>
      </c>
      <c r="W193" s="6">
        <v>6.2</v>
      </c>
      <c r="X193" s="4">
        <v>12</v>
      </c>
      <c r="Y193" s="5">
        <v>0.3</v>
      </c>
      <c r="Z193" s="5">
        <v>3.4</v>
      </c>
      <c r="AA193" s="3" t="s">
        <v>80</v>
      </c>
      <c r="AB193" s="3">
        <v>0</v>
      </c>
      <c r="AC193" s="3" t="s">
        <v>81</v>
      </c>
      <c r="AD193" s="3">
        <v>0</v>
      </c>
      <c r="AE193" s="3" t="s">
        <v>82</v>
      </c>
      <c r="AF193" s="3">
        <v>1</v>
      </c>
      <c r="AG193" s="3" t="s">
        <v>82</v>
      </c>
      <c r="AH193" s="3">
        <v>1</v>
      </c>
      <c r="AI193" s="3">
        <v>4</v>
      </c>
      <c r="AJ193" s="3">
        <v>3</v>
      </c>
      <c r="AK193" s="3">
        <v>2</v>
      </c>
      <c r="AL193" s="3">
        <v>1</v>
      </c>
      <c r="AM193" s="3">
        <v>0</v>
      </c>
      <c r="AN193" s="3">
        <v>1</v>
      </c>
      <c r="AO193" s="3">
        <v>0</v>
      </c>
      <c r="AP193" s="3">
        <v>0</v>
      </c>
      <c r="AQ193" s="3">
        <v>0</v>
      </c>
      <c r="AR193" s="3">
        <v>0</v>
      </c>
      <c r="AS193" s="3">
        <v>1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1</v>
      </c>
      <c r="BB193" s="3">
        <v>0</v>
      </c>
      <c r="BC193" s="3">
        <v>0</v>
      </c>
      <c r="BD193" s="3">
        <v>0</v>
      </c>
      <c r="BE193" s="3">
        <v>0</v>
      </c>
      <c r="BF193" s="3">
        <v>1</v>
      </c>
      <c r="BG193" s="3">
        <v>1</v>
      </c>
      <c r="BH193" s="3">
        <v>0</v>
      </c>
      <c r="BI193" s="3">
        <v>0</v>
      </c>
      <c r="BJ193" s="3">
        <v>1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7" t="s">
        <v>608</v>
      </c>
      <c r="BX193" s="7" t="s">
        <v>80</v>
      </c>
    </row>
    <row r="194" spans="1:76">
      <c r="A194" s="3" t="s">
        <v>611</v>
      </c>
      <c r="B194" s="3">
        <v>3704</v>
      </c>
      <c r="C194" s="3" t="s">
        <v>605</v>
      </c>
      <c r="D194" s="3">
        <v>8</v>
      </c>
      <c r="E194" s="4">
        <v>69</v>
      </c>
      <c r="F194" s="3" t="s">
        <v>78</v>
      </c>
      <c r="G194" s="3">
        <v>0</v>
      </c>
      <c r="H194" s="3">
        <v>0</v>
      </c>
      <c r="I194" s="4">
        <v>12</v>
      </c>
      <c r="J194" s="4">
        <v>0</v>
      </c>
      <c r="K194" s="4">
        <v>12</v>
      </c>
      <c r="L194" s="5">
        <f>IF(F194="F",65.79,IF(F194="M",79.94,""))</f>
        <v>79.94</v>
      </c>
      <c r="M194" s="3">
        <f t="shared" ref="M194:M257" si="21">IF(AND(ISNUMBER(K194),ISNUMBER(L194),K194&gt;=L194),1,0)</f>
        <v>0</v>
      </c>
      <c r="N194" s="3" t="str">
        <f t="shared" ref="N194:N257" si="22">IF(M194=1,"VSC-halitosis","VSC-non-halitosis")</f>
        <v>VSC-non-halitosis</v>
      </c>
      <c r="O194" s="3" t="str">
        <f t="shared" ref="O194:O257" si="23">IF(AND(G194=1,M194=1),"Clinical+ / VSC+",IF(AND(G194=1,M194=0),"Clinical+ / VSC-",IF(AND(G194=0,M194=1),"Clinical- / VSC+","Clinical- / VSC-")))</f>
        <v>Clinical- / VSC-</v>
      </c>
      <c r="P194" s="5">
        <f t="shared" ref="P194:P257" si="24">IF(K194&gt;0,LN(K194),"")</f>
        <v>2.4849066497880004</v>
      </c>
      <c r="Q194" s="5">
        <f t="shared" ref="Q194:R257" si="25">IF(ISNUMBER(I194),LN(I194+1),"")</f>
        <v>2.5649493574615367</v>
      </c>
      <c r="R194" s="5">
        <f t="shared" si="25"/>
        <v>0</v>
      </c>
      <c r="S194" s="5">
        <f t="shared" ref="S194:S257" si="26">IF(K194&gt;0,J194/K194,"")</f>
        <v>0</v>
      </c>
      <c r="T194" s="3">
        <f t="shared" ref="T194:T257" si="27">IF(J194&gt;I194,1,0)</f>
        <v>0</v>
      </c>
      <c r="U194" s="3" t="s">
        <v>79</v>
      </c>
      <c r="V194" s="3">
        <v>2</v>
      </c>
      <c r="W194" s="6">
        <v>6.4</v>
      </c>
      <c r="X194" s="4"/>
      <c r="Y194" s="5">
        <v>0.25</v>
      </c>
      <c r="Z194" s="5"/>
      <c r="AA194" s="3" t="s">
        <v>80</v>
      </c>
      <c r="AB194" s="3">
        <v>0</v>
      </c>
      <c r="AC194" s="3" t="s">
        <v>81</v>
      </c>
      <c r="AD194" s="3">
        <v>0</v>
      </c>
      <c r="AE194" s="3" t="s">
        <v>98</v>
      </c>
      <c r="AF194" s="3">
        <v>0</v>
      </c>
      <c r="AG194" s="3" t="s">
        <v>98</v>
      </c>
      <c r="AH194" s="3">
        <v>0</v>
      </c>
      <c r="AI194" s="3">
        <v>2</v>
      </c>
      <c r="AJ194" s="3">
        <v>1</v>
      </c>
      <c r="AK194" s="3">
        <v>0</v>
      </c>
      <c r="AL194" s="3">
        <v>1</v>
      </c>
      <c r="AM194" s="3">
        <v>0</v>
      </c>
      <c r="AN194" s="3">
        <v>1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1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7" t="s">
        <v>186</v>
      </c>
      <c r="BX194" s="7" t="s">
        <v>606</v>
      </c>
    </row>
    <row r="195" spans="1:76" ht="68">
      <c r="A195" s="3" t="s">
        <v>612</v>
      </c>
      <c r="B195" s="3">
        <v>6636</v>
      </c>
      <c r="C195" s="3" t="s">
        <v>605</v>
      </c>
      <c r="D195" s="3">
        <v>8</v>
      </c>
      <c r="E195" s="4">
        <v>69</v>
      </c>
      <c r="F195" s="3" t="s">
        <v>78</v>
      </c>
      <c r="G195" s="3">
        <v>0</v>
      </c>
      <c r="H195" s="3">
        <v>0</v>
      </c>
      <c r="I195" s="4">
        <v>12</v>
      </c>
      <c r="J195" s="4">
        <v>0</v>
      </c>
      <c r="K195" s="4">
        <v>12</v>
      </c>
      <c r="L195" s="5">
        <f>IF(F195="F",65.79,IF(F195="M",79.94,""))</f>
        <v>79.94</v>
      </c>
      <c r="M195" s="3">
        <f t="shared" si="21"/>
        <v>0</v>
      </c>
      <c r="N195" s="3" t="str">
        <f t="shared" si="22"/>
        <v>VSC-non-halitosis</v>
      </c>
      <c r="O195" s="3" t="str">
        <f t="shared" si="23"/>
        <v>Clinical- / VSC-</v>
      </c>
      <c r="P195" s="5">
        <f t="shared" si="24"/>
        <v>2.4849066497880004</v>
      </c>
      <c r="Q195" s="5">
        <f t="shared" si="25"/>
        <v>2.5649493574615367</v>
      </c>
      <c r="R195" s="5">
        <f t="shared" si="25"/>
        <v>0</v>
      </c>
      <c r="S195" s="5">
        <f t="shared" si="26"/>
        <v>0</v>
      </c>
      <c r="T195" s="3">
        <f t="shared" si="27"/>
        <v>0</v>
      </c>
      <c r="U195" s="3" t="s">
        <v>79</v>
      </c>
      <c r="V195" s="3">
        <v>2</v>
      </c>
      <c r="W195" s="6">
        <v>6.4</v>
      </c>
      <c r="X195" s="4"/>
      <c r="Y195" s="5">
        <v>0.25</v>
      </c>
      <c r="Z195" s="5"/>
      <c r="AA195" s="3" t="s">
        <v>80</v>
      </c>
      <c r="AB195" s="3">
        <v>0</v>
      </c>
      <c r="AC195" s="3" t="s">
        <v>81</v>
      </c>
      <c r="AD195" s="3">
        <v>0</v>
      </c>
      <c r="AE195" s="3" t="s">
        <v>82</v>
      </c>
      <c r="AF195" s="3">
        <v>1</v>
      </c>
      <c r="AG195" s="3" t="s">
        <v>82</v>
      </c>
      <c r="AH195" s="3">
        <v>1</v>
      </c>
      <c r="AI195" s="3">
        <v>4</v>
      </c>
      <c r="AJ195" s="3">
        <v>3</v>
      </c>
      <c r="AK195" s="3">
        <v>2</v>
      </c>
      <c r="AL195" s="3">
        <v>1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  <c r="AR195" s="3">
        <v>0</v>
      </c>
      <c r="AS195" s="3">
        <v>1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1</v>
      </c>
      <c r="BB195" s="3">
        <v>0</v>
      </c>
      <c r="BC195" s="3">
        <v>0</v>
      </c>
      <c r="BD195" s="3">
        <v>0</v>
      </c>
      <c r="BE195" s="3">
        <v>0</v>
      </c>
      <c r="BF195" s="3">
        <v>1</v>
      </c>
      <c r="BG195" s="3">
        <v>1</v>
      </c>
      <c r="BH195" s="3">
        <v>0</v>
      </c>
      <c r="BI195" s="3">
        <v>0</v>
      </c>
      <c r="BJ195" s="3">
        <v>1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7" t="s">
        <v>608</v>
      </c>
      <c r="BX195" s="7" t="s">
        <v>80</v>
      </c>
    </row>
    <row r="196" spans="1:76">
      <c r="A196" s="3" t="s">
        <v>613</v>
      </c>
      <c r="B196" s="3">
        <v>3704</v>
      </c>
      <c r="C196" s="3" t="s">
        <v>605</v>
      </c>
      <c r="D196" s="3">
        <v>8</v>
      </c>
      <c r="E196" s="4">
        <v>69</v>
      </c>
      <c r="F196" s="3" t="s">
        <v>78</v>
      </c>
      <c r="G196" s="3">
        <v>0</v>
      </c>
      <c r="H196" s="3">
        <v>0</v>
      </c>
      <c r="I196" s="4">
        <v>12</v>
      </c>
      <c r="J196" s="4">
        <v>0</v>
      </c>
      <c r="K196" s="4">
        <v>12</v>
      </c>
      <c r="L196" s="5">
        <f>IF(F196="F",65.79,IF(F196="M",79.94,""))</f>
        <v>79.94</v>
      </c>
      <c r="M196" s="3">
        <f t="shared" si="21"/>
        <v>0</v>
      </c>
      <c r="N196" s="3" t="str">
        <f t="shared" si="22"/>
        <v>VSC-non-halitosis</v>
      </c>
      <c r="O196" s="3" t="str">
        <f t="shared" si="23"/>
        <v>Clinical- / VSC-</v>
      </c>
      <c r="P196" s="5">
        <f t="shared" si="24"/>
        <v>2.4849066497880004</v>
      </c>
      <c r="Q196" s="5">
        <f t="shared" si="25"/>
        <v>2.5649493574615367</v>
      </c>
      <c r="R196" s="5">
        <f t="shared" si="25"/>
        <v>0</v>
      </c>
      <c r="S196" s="5">
        <f t="shared" si="26"/>
        <v>0</v>
      </c>
      <c r="T196" s="3">
        <f t="shared" si="27"/>
        <v>0</v>
      </c>
      <c r="U196" s="3" t="s">
        <v>79</v>
      </c>
      <c r="V196" s="3">
        <v>2</v>
      </c>
      <c r="W196" s="6">
        <v>6.2</v>
      </c>
      <c r="X196" s="4">
        <v>12</v>
      </c>
      <c r="Y196" s="5">
        <v>0.3</v>
      </c>
      <c r="Z196" s="5">
        <v>3.4</v>
      </c>
      <c r="AA196" s="3" t="s">
        <v>80</v>
      </c>
      <c r="AB196" s="3">
        <v>0</v>
      </c>
      <c r="AC196" s="3" t="s">
        <v>81</v>
      </c>
      <c r="AD196" s="3">
        <v>0</v>
      </c>
      <c r="AE196" s="3" t="s">
        <v>98</v>
      </c>
      <c r="AF196" s="3">
        <v>0</v>
      </c>
      <c r="AG196" s="3" t="s">
        <v>98</v>
      </c>
      <c r="AH196" s="3">
        <v>0</v>
      </c>
      <c r="AI196" s="3">
        <v>2</v>
      </c>
      <c r="AJ196" s="3">
        <v>1</v>
      </c>
      <c r="AK196" s="3">
        <v>0</v>
      </c>
      <c r="AL196" s="3">
        <v>1</v>
      </c>
      <c r="AM196" s="3">
        <v>0</v>
      </c>
      <c r="AN196" s="3">
        <v>1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1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7" t="s">
        <v>186</v>
      </c>
      <c r="BX196" s="7" t="s">
        <v>606</v>
      </c>
    </row>
    <row r="197" spans="1:76" ht="68">
      <c r="A197" s="3" t="s">
        <v>614</v>
      </c>
      <c r="B197" s="3">
        <v>6636</v>
      </c>
      <c r="C197" s="3" t="s">
        <v>605</v>
      </c>
      <c r="D197" s="3">
        <v>8</v>
      </c>
      <c r="E197" s="4">
        <v>69</v>
      </c>
      <c r="F197" s="3" t="s">
        <v>78</v>
      </c>
      <c r="G197" s="3">
        <v>0</v>
      </c>
      <c r="H197" s="3">
        <v>0</v>
      </c>
      <c r="I197" s="4">
        <v>12</v>
      </c>
      <c r="J197" s="4">
        <v>0</v>
      </c>
      <c r="K197" s="4">
        <v>12</v>
      </c>
      <c r="L197" s="5">
        <f>IF(F197="F",65.79,IF(F197="M",79.94,""))</f>
        <v>79.94</v>
      </c>
      <c r="M197" s="3">
        <f t="shared" si="21"/>
        <v>0</v>
      </c>
      <c r="N197" s="3" t="str">
        <f t="shared" si="22"/>
        <v>VSC-non-halitosis</v>
      </c>
      <c r="O197" s="3" t="str">
        <f t="shared" si="23"/>
        <v>Clinical- / VSC-</v>
      </c>
      <c r="P197" s="5">
        <f t="shared" si="24"/>
        <v>2.4849066497880004</v>
      </c>
      <c r="Q197" s="5">
        <f t="shared" si="25"/>
        <v>2.5649493574615367</v>
      </c>
      <c r="R197" s="5">
        <f t="shared" si="25"/>
        <v>0</v>
      </c>
      <c r="S197" s="5">
        <f t="shared" si="26"/>
        <v>0</v>
      </c>
      <c r="T197" s="3">
        <f t="shared" si="27"/>
        <v>0</v>
      </c>
      <c r="U197" s="3" t="s">
        <v>79</v>
      </c>
      <c r="V197" s="3">
        <v>2</v>
      </c>
      <c r="W197" s="6">
        <v>6.2</v>
      </c>
      <c r="X197" s="4">
        <v>12</v>
      </c>
      <c r="Y197" s="5">
        <v>0.3</v>
      </c>
      <c r="Z197" s="5">
        <v>3.4</v>
      </c>
      <c r="AA197" s="3" t="s">
        <v>80</v>
      </c>
      <c r="AB197" s="3">
        <v>0</v>
      </c>
      <c r="AC197" s="3" t="s">
        <v>81</v>
      </c>
      <c r="AD197" s="3">
        <v>0</v>
      </c>
      <c r="AE197" s="3" t="s">
        <v>82</v>
      </c>
      <c r="AF197" s="3">
        <v>1</v>
      </c>
      <c r="AG197" s="3" t="s">
        <v>82</v>
      </c>
      <c r="AH197" s="3">
        <v>1</v>
      </c>
      <c r="AI197" s="3">
        <v>4</v>
      </c>
      <c r="AJ197" s="3">
        <v>3</v>
      </c>
      <c r="AK197" s="3">
        <v>2</v>
      </c>
      <c r="AL197" s="3">
        <v>1</v>
      </c>
      <c r="AM197" s="3">
        <v>0</v>
      </c>
      <c r="AN197" s="3">
        <v>1</v>
      </c>
      <c r="AO197" s="3">
        <v>0</v>
      </c>
      <c r="AP197" s="3">
        <v>0</v>
      </c>
      <c r="AQ197" s="3">
        <v>0</v>
      </c>
      <c r="AR197" s="3">
        <v>0</v>
      </c>
      <c r="AS197" s="3">
        <v>1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1</v>
      </c>
      <c r="BB197" s="3">
        <v>0</v>
      </c>
      <c r="BC197" s="3">
        <v>0</v>
      </c>
      <c r="BD197" s="3">
        <v>0</v>
      </c>
      <c r="BE197" s="3">
        <v>0</v>
      </c>
      <c r="BF197" s="3">
        <v>1</v>
      </c>
      <c r="BG197" s="3">
        <v>1</v>
      </c>
      <c r="BH197" s="3">
        <v>0</v>
      </c>
      <c r="BI197" s="3">
        <v>0</v>
      </c>
      <c r="BJ197" s="3">
        <v>1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7" t="s">
        <v>608</v>
      </c>
      <c r="BX197" s="7" t="s">
        <v>80</v>
      </c>
    </row>
    <row r="198" spans="1:76">
      <c r="A198" s="3" t="s">
        <v>615</v>
      </c>
      <c r="B198" s="3">
        <v>5096</v>
      </c>
      <c r="C198" s="3" t="s">
        <v>616</v>
      </c>
      <c r="D198" s="3">
        <v>1</v>
      </c>
      <c r="E198" s="4">
        <v>66</v>
      </c>
      <c r="F198" s="3" t="s">
        <v>87</v>
      </c>
      <c r="G198" s="3">
        <v>0</v>
      </c>
      <c r="H198" s="3">
        <v>0</v>
      </c>
      <c r="I198" s="4">
        <v>3</v>
      </c>
      <c r="J198" s="4">
        <v>1</v>
      </c>
      <c r="K198" s="4">
        <v>4</v>
      </c>
      <c r="L198" s="5">
        <f>IF(F198="F",65.79,IF(F198="M",79.94,""))</f>
        <v>65.790000000000006</v>
      </c>
      <c r="M198" s="3">
        <f t="shared" si="21"/>
        <v>0</v>
      </c>
      <c r="N198" s="3" t="str">
        <f t="shared" si="22"/>
        <v>VSC-non-halitosis</v>
      </c>
      <c r="O198" s="3" t="str">
        <f t="shared" si="23"/>
        <v>Clinical- / VSC-</v>
      </c>
      <c r="P198" s="5">
        <f t="shared" si="24"/>
        <v>1.3862943611198906</v>
      </c>
      <c r="Q198" s="5">
        <f t="shared" si="25"/>
        <v>1.3862943611198906</v>
      </c>
      <c r="R198" s="5">
        <f t="shared" si="25"/>
        <v>0.69314718055994529</v>
      </c>
      <c r="S198" s="5">
        <f t="shared" si="26"/>
        <v>0.25</v>
      </c>
      <c r="T198" s="3">
        <f t="shared" si="27"/>
        <v>0</v>
      </c>
      <c r="U198" s="3" t="s">
        <v>79</v>
      </c>
      <c r="V198" s="3">
        <v>2</v>
      </c>
      <c r="W198" s="6">
        <v>6.2</v>
      </c>
      <c r="X198" s="4">
        <v>8</v>
      </c>
      <c r="Y198" s="5">
        <v>0.3</v>
      </c>
      <c r="Z198" s="5">
        <v>1.2</v>
      </c>
      <c r="AA198" s="3" t="s">
        <v>88</v>
      </c>
      <c r="AB198" s="3">
        <v>0</v>
      </c>
      <c r="AC198" s="3" t="s">
        <v>81</v>
      </c>
      <c r="AD198" s="3">
        <v>0</v>
      </c>
      <c r="AE198" s="3" t="s">
        <v>82</v>
      </c>
      <c r="AF198" s="3">
        <v>1</v>
      </c>
      <c r="AG198" s="3" t="s">
        <v>98</v>
      </c>
      <c r="AH198" s="3">
        <v>0</v>
      </c>
      <c r="AI198" s="3">
        <v>2</v>
      </c>
      <c r="AJ198" s="3">
        <v>1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1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1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7"/>
      <c r="BX198" s="7" t="s">
        <v>617</v>
      </c>
    </row>
    <row r="199" spans="1:76">
      <c r="A199" s="3" t="s">
        <v>618</v>
      </c>
      <c r="B199" s="3">
        <v>5145</v>
      </c>
      <c r="C199" s="3" t="s">
        <v>619</v>
      </c>
      <c r="D199" s="3">
        <v>1</v>
      </c>
      <c r="E199" s="4">
        <v>41</v>
      </c>
      <c r="F199" s="3" t="s">
        <v>87</v>
      </c>
      <c r="G199" s="3">
        <v>0</v>
      </c>
      <c r="H199" s="3">
        <v>1</v>
      </c>
      <c r="I199" s="4">
        <v>3</v>
      </c>
      <c r="J199" s="4">
        <v>2</v>
      </c>
      <c r="K199" s="4">
        <v>5</v>
      </c>
      <c r="L199" s="5">
        <f>IF(F199="F",65.79,IF(F199="M",79.94,""))</f>
        <v>65.790000000000006</v>
      </c>
      <c r="M199" s="3">
        <f t="shared" si="21"/>
        <v>0</v>
      </c>
      <c r="N199" s="3" t="str">
        <f t="shared" si="22"/>
        <v>VSC-non-halitosis</v>
      </c>
      <c r="O199" s="3" t="str">
        <f t="shared" si="23"/>
        <v>Clinical- / VSC-</v>
      </c>
      <c r="P199" s="5">
        <f t="shared" si="24"/>
        <v>1.6094379124341003</v>
      </c>
      <c r="Q199" s="5">
        <f t="shared" si="25"/>
        <v>1.3862943611198906</v>
      </c>
      <c r="R199" s="5">
        <f t="shared" si="25"/>
        <v>1.0986122886681098</v>
      </c>
      <c r="S199" s="5">
        <f t="shared" si="26"/>
        <v>0.4</v>
      </c>
      <c r="T199" s="3">
        <f t="shared" si="27"/>
        <v>0</v>
      </c>
      <c r="U199" s="3" t="s">
        <v>79</v>
      </c>
      <c r="V199" s="3">
        <v>2</v>
      </c>
      <c r="W199" s="6">
        <v>7.4</v>
      </c>
      <c r="X199" s="4">
        <v>12</v>
      </c>
      <c r="Y199" s="5">
        <v>0</v>
      </c>
      <c r="Z199" s="5">
        <v>0.5</v>
      </c>
      <c r="AA199" s="3" t="s">
        <v>108</v>
      </c>
      <c r="AB199" s="3">
        <v>1</v>
      </c>
      <c r="AC199" s="3" t="s">
        <v>81</v>
      </c>
      <c r="AD199" s="3">
        <v>0</v>
      </c>
      <c r="AE199" s="3" t="s">
        <v>98</v>
      </c>
      <c r="AF199" s="3">
        <v>0</v>
      </c>
      <c r="AG199" s="3" t="s">
        <v>82</v>
      </c>
      <c r="AH199" s="3">
        <v>1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7" t="s">
        <v>620</v>
      </c>
      <c r="BX199" s="7" t="s">
        <v>621</v>
      </c>
    </row>
    <row r="200" spans="1:76">
      <c r="A200" s="3" t="s">
        <v>622</v>
      </c>
      <c r="B200" s="3">
        <v>3046</v>
      </c>
      <c r="C200" s="3" t="s">
        <v>623</v>
      </c>
      <c r="D200" s="3">
        <v>1</v>
      </c>
      <c r="E200" s="4">
        <v>71</v>
      </c>
      <c r="F200" s="3" t="s">
        <v>87</v>
      </c>
      <c r="G200" s="3">
        <v>0</v>
      </c>
      <c r="H200" s="3">
        <v>0</v>
      </c>
      <c r="I200" s="4">
        <v>31</v>
      </c>
      <c r="J200" s="4">
        <v>28</v>
      </c>
      <c r="K200" s="4">
        <v>59</v>
      </c>
      <c r="L200" s="5">
        <f>IF(F200="F",65.79,IF(F200="M",79.94,""))</f>
        <v>65.790000000000006</v>
      </c>
      <c r="M200" s="3">
        <f t="shared" si="21"/>
        <v>0</v>
      </c>
      <c r="N200" s="3" t="str">
        <f t="shared" si="22"/>
        <v>VSC-non-halitosis</v>
      </c>
      <c r="O200" s="3" t="str">
        <f t="shared" si="23"/>
        <v>Clinical- / VSC-</v>
      </c>
      <c r="P200" s="5">
        <f t="shared" si="24"/>
        <v>4.0775374439057197</v>
      </c>
      <c r="Q200" s="5">
        <f t="shared" si="25"/>
        <v>3.4657359027997265</v>
      </c>
      <c r="R200" s="5">
        <f t="shared" si="25"/>
        <v>3.3672958299864741</v>
      </c>
      <c r="S200" s="5">
        <f t="shared" si="26"/>
        <v>0.47457627118644069</v>
      </c>
      <c r="T200" s="3">
        <f t="shared" si="27"/>
        <v>0</v>
      </c>
      <c r="U200" s="3" t="s">
        <v>96</v>
      </c>
      <c r="V200" s="3">
        <v>3</v>
      </c>
      <c r="W200" s="6">
        <v>6.6</v>
      </c>
      <c r="X200" s="4">
        <v>11</v>
      </c>
      <c r="Y200" s="5">
        <v>0.2</v>
      </c>
      <c r="Z200" s="5">
        <v>1</v>
      </c>
      <c r="AA200" s="3" t="s">
        <v>108</v>
      </c>
      <c r="AB200" s="3">
        <v>1</v>
      </c>
      <c r="AC200" s="3" t="s">
        <v>81</v>
      </c>
      <c r="AD200" s="3">
        <v>0</v>
      </c>
      <c r="AE200" s="3" t="s">
        <v>82</v>
      </c>
      <c r="AF200" s="3">
        <v>1</v>
      </c>
      <c r="AG200" s="3" t="s">
        <v>98</v>
      </c>
      <c r="AH200" s="3">
        <v>0</v>
      </c>
      <c r="AI200" s="3">
        <v>3</v>
      </c>
      <c r="AJ200" s="3">
        <v>3</v>
      </c>
      <c r="AK200" s="3">
        <v>1</v>
      </c>
      <c r="AL200" s="3">
        <v>1</v>
      </c>
      <c r="AM200" s="3">
        <v>1</v>
      </c>
      <c r="AN200" s="3">
        <v>0</v>
      </c>
      <c r="AO200" s="3">
        <v>1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1</v>
      </c>
      <c r="BH200" s="3">
        <v>0</v>
      </c>
      <c r="BI200" s="3">
        <v>0</v>
      </c>
      <c r="BJ200" s="3">
        <v>0</v>
      </c>
      <c r="BK200" s="3">
        <v>1</v>
      </c>
      <c r="BL200" s="3">
        <v>0</v>
      </c>
      <c r="BM200" s="3">
        <v>0</v>
      </c>
      <c r="BN200" s="3">
        <v>0</v>
      </c>
      <c r="BO200" s="3">
        <v>1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7" t="s">
        <v>624</v>
      </c>
      <c r="BX200" s="7" t="s">
        <v>625</v>
      </c>
    </row>
    <row r="201" spans="1:76">
      <c r="A201" s="3" t="s">
        <v>626</v>
      </c>
      <c r="B201" s="3">
        <v>6131</v>
      </c>
      <c r="C201" s="3" t="s">
        <v>627</v>
      </c>
      <c r="D201" s="3">
        <v>1</v>
      </c>
      <c r="E201" s="4">
        <v>49</v>
      </c>
      <c r="F201" s="3" t="s">
        <v>87</v>
      </c>
      <c r="G201" s="3">
        <v>0</v>
      </c>
      <c r="H201" s="3">
        <v>0</v>
      </c>
      <c r="I201" s="4">
        <v>9</v>
      </c>
      <c r="J201" s="4">
        <v>0</v>
      </c>
      <c r="K201" s="4">
        <v>9</v>
      </c>
      <c r="L201" s="5">
        <f>IF(F201="F",65.79,IF(F201="M",79.94,""))</f>
        <v>65.790000000000006</v>
      </c>
      <c r="M201" s="3">
        <f t="shared" si="21"/>
        <v>0</v>
      </c>
      <c r="N201" s="3" t="str">
        <f t="shared" si="22"/>
        <v>VSC-non-halitosis</v>
      </c>
      <c r="O201" s="3" t="str">
        <f t="shared" si="23"/>
        <v>Clinical- / VSC-</v>
      </c>
      <c r="P201" s="5">
        <f t="shared" si="24"/>
        <v>2.1972245773362196</v>
      </c>
      <c r="Q201" s="5">
        <f t="shared" si="25"/>
        <v>2.3025850929940459</v>
      </c>
      <c r="R201" s="5">
        <f t="shared" si="25"/>
        <v>0</v>
      </c>
      <c r="S201" s="5">
        <f t="shared" si="26"/>
        <v>0</v>
      </c>
      <c r="T201" s="3">
        <f t="shared" si="27"/>
        <v>0</v>
      </c>
      <c r="U201" s="3" t="s">
        <v>79</v>
      </c>
      <c r="V201" s="3">
        <v>2</v>
      </c>
      <c r="W201" s="6">
        <v>6.8</v>
      </c>
      <c r="X201" s="4">
        <v>10</v>
      </c>
      <c r="Y201" s="5">
        <v>0.7</v>
      </c>
      <c r="Z201" s="5">
        <v>0.7</v>
      </c>
      <c r="AA201" s="3" t="s">
        <v>80</v>
      </c>
      <c r="AB201" s="3">
        <v>0</v>
      </c>
      <c r="AC201" s="3" t="s">
        <v>81</v>
      </c>
      <c r="AD201" s="3">
        <v>0</v>
      </c>
      <c r="AE201" s="3" t="s">
        <v>82</v>
      </c>
      <c r="AF201" s="3">
        <v>1</v>
      </c>
      <c r="AG201" s="3" t="s">
        <v>82</v>
      </c>
      <c r="AH201" s="3">
        <v>1</v>
      </c>
      <c r="AI201" s="3">
        <v>1</v>
      </c>
      <c r="AJ201" s="3">
        <v>0</v>
      </c>
      <c r="AK201" s="3">
        <v>0</v>
      </c>
      <c r="AL201" s="3">
        <v>1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7" t="s">
        <v>186</v>
      </c>
      <c r="BX201" s="7" t="s">
        <v>119</v>
      </c>
    </row>
    <row r="202" spans="1:76">
      <c r="A202" s="3" t="s">
        <v>628</v>
      </c>
      <c r="B202" s="3">
        <v>3921</v>
      </c>
      <c r="C202" s="3" t="s">
        <v>629</v>
      </c>
      <c r="D202" s="3">
        <v>1</v>
      </c>
      <c r="E202" s="4">
        <v>49</v>
      </c>
      <c r="F202" s="3" t="s">
        <v>87</v>
      </c>
      <c r="G202" s="3">
        <v>0</v>
      </c>
      <c r="H202" s="3">
        <v>1</v>
      </c>
      <c r="I202" s="4">
        <v>1</v>
      </c>
      <c r="J202" s="4">
        <v>0</v>
      </c>
      <c r="K202" s="4">
        <v>1</v>
      </c>
      <c r="L202" s="5">
        <f>IF(F202="F",65.79,IF(F202="M",79.94,""))</f>
        <v>65.790000000000006</v>
      </c>
      <c r="M202" s="3">
        <f t="shared" si="21"/>
        <v>0</v>
      </c>
      <c r="N202" s="3" t="str">
        <f t="shared" si="22"/>
        <v>VSC-non-halitosis</v>
      </c>
      <c r="O202" s="3" t="str">
        <f t="shared" si="23"/>
        <v>Clinical- / VSC-</v>
      </c>
      <c r="P202" s="5">
        <f t="shared" si="24"/>
        <v>0</v>
      </c>
      <c r="Q202" s="5">
        <f t="shared" si="25"/>
        <v>0.69314718055994529</v>
      </c>
      <c r="R202" s="5">
        <f t="shared" si="25"/>
        <v>0</v>
      </c>
      <c r="S202" s="5">
        <f t="shared" si="26"/>
        <v>0</v>
      </c>
      <c r="T202" s="3">
        <f t="shared" si="27"/>
        <v>0</v>
      </c>
      <c r="U202" s="3" t="s">
        <v>102</v>
      </c>
      <c r="V202" s="3">
        <v>1</v>
      </c>
      <c r="W202" s="6">
        <v>6.6</v>
      </c>
      <c r="X202" s="4">
        <v>12</v>
      </c>
      <c r="Y202" s="5">
        <v>0.5</v>
      </c>
      <c r="Z202" s="5">
        <v>0.8</v>
      </c>
      <c r="AA202" s="3" t="s">
        <v>108</v>
      </c>
      <c r="AB202" s="3">
        <v>1</v>
      </c>
      <c r="AC202" s="3" t="s">
        <v>81</v>
      </c>
      <c r="AD202" s="3">
        <v>0</v>
      </c>
      <c r="AE202" s="3" t="s">
        <v>82</v>
      </c>
      <c r="AF202" s="3">
        <v>1</v>
      </c>
      <c r="AG202" s="3" t="s">
        <v>98</v>
      </c>
      <c r="AH202" s="3">
        <v>0</v>
      </c>
      <c r="AI202" s="3">
        <v>2</v>
      </c>
      <c r="AJ202" s="3">
        <v>2</v>
      </c>
      <c r="AK202" s="3">
        <v>0</v>
      </c>
      <c r="AL202" s="3">
        <v>0</v>
      </c>
      <c r="AM202" s="3">
        <v>0</v>
      </c>
      <c r="AN202" s="3">
        <v>1</v>
      </c>
      <c r="AO202" s="3">
        <v>1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1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1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7" t="s">
        <v>328</v>
      </c>
      <c r="BX202" s="7" t="s">
        <v>630</v>
      </c>
    </row>
    <row r="203" spans="1:76">
      <c r="A203" s="3" t="s">
        <v>631</v>
      </c>
      <c r="B203" s="3">
        <v>4420</v>
      </c>
      <c r="C203" s="3" t="s">
        <v>632</v>
      </c>
      <c r="D203" s="3">
        <v>1</v>
      </c>
      <c r="E203" s="4">
        <v>66</v>
      </c>
      <c r="F203" s="3" t="s">
        <v>87</v>
      </c>
      <c r="G203" s="3">
        <v>0</v>
      </c>
      <c r="H203" s="3">
        <v>0</v>
      </c>
      <c r="I203" s="4">
        <v>211</v>
      </c>
      <c r="J203" s="4">
        <v>42</v>
      </c>
      <c r="K203" s="4">
        <v>253</v>
      </c>
      <c r="L203" s="5">
        <f>IF(F203="F",65.79,IF(F203="M",79.94,""))</f>
        <v>65.790000000000006</v>
      </c>
      <c r="M203" s="3">
        <f t="shared" si="21"/>
        <v>1</v>
      </c>
      <c r="N203" s="3" t="str">
        <f t="shared" si="22"/>
        <v>VSC-halitosis</v>
      </c>
      <c r="O203" s="3" t="str">
        <f t="shared" si="23"/>
        <v>Clinical- / VSC+</v>
      </c>
      <c r="P203" s="5">
        <f t="shared" si="24"/>
        <v>5.5333894887275203</v>
      </c>
      <c r="Q203" s="5">
        <f t="shared" si="25"/>
        <v>5.3565862746720123</v>
      </c>
      <c r="R203" s="5">
        <f t="shared" si="25"/>
        <v>3.7612001156935624</v>
      </c>
      <c r="S203" s="5">
        <f t="shared" si="26"/>
        <v>0.16600790513833993</v>
      </c>
      <c r="T203" s="3">
        <f t="shared" si="27"/>
        <v>0</v>
      </c>
      <c r="U203" s="3" t="s">
        <v>96</v>
      </c>
      <c r="V203" s="3">
        <v>3</v>
      </c>
      <c r="W203" s="6">
        <v>7.2</v>
      </c>
      <c r="X203" s="4">
        <v>10</v>
      </c>
      <c r="Y203" s="5">
        <v>1</v>
      </c>
      <c r="Z203" s="5">
        <v>2</v>
      </c>
      <c r="AA203" s="3" t="s">
        <v>88</v>
      </c>
      <c r="AB203" s="3">
        <v>0</v>
      </c>
      <c r="AC203" s="3" t="s">
        <v>113</v>
      </c>
      <c r="AD203" s="3">
        <v>0</v>
      </c>
      <c r="AE203" s="3" t="s">
        <v>98</v>
      </c>
      <c r="AF203" s="3">
        <v>0</v>
      </c>
      <c r="AG203" s="3" t="s">
        <v>98</v>
      </c>
      <c r="AH203" s="3">
        <v>0</v>
      </c>
      <c r="AI203" s="3">
        <v>1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1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7"/>
      <c r="BX203" s="7" t="s">
        <v>633</v>
      </c>
    </row>
    <row r="204" spans="1:76">
      <c r="A204" s="3" t="s">
        <v>634</v>
      </c>
      <c r="B204" s="3">
        <v>3079</v>
      </c>
      <c r="C204" s="3" t="s">
        <v>635</v>
      </c>
      <c r="D204" s="3">
        <v>1</v>
      </c>
      <c r="E204" s="4">
        <v>60</v>
      </c>
      <c r="F204" s="3" t="s">
        <v>87</v>
      </c>
      <c r="G204" s="3">
        <v>0</v>
      </c>
      <c r="H204" s="3">
        <v>1</v>
      </c>
      <c r="I204" s="4">
        <v>135</v>
      </c>
      <c r="J204" s="4">
        <v>91</v>
      </c>
      <c r="K204" s="4">
        <v>226</v>
      </c>
      <c r="L204" s="5">
        <f>IF(F204="F",65.79,IF(F204="M",79.94,""))</f>
        <v>65.790000000000006</v>
      </c>
      <c r="M204" s="3">
        <f t="shared" si="21"/>
        <v>1</v>
      </c>
      <c r="N204" s="3" t="str">
        <f t="shared" si="22"/>
        <v>VSC-halitosis</v>
      </c>
      <c r="O204" s="3" t="str">
        <f t="shared" si="23"/>
        <v>Clinical- / VSC+</v>
      </c>
      <c r="P204" s="5">
        <f t="shared" si="24"/>
        <v>5.4205349992722862</v>
      </c>
      <c r="Q204" s="5">
        <f t="shared" si="25"/>
        <v>4.9126548857360524</v>
      </c>
      <c r="R204" s="5">
        <f t="shared" si="25"/>
        <v>4.5217885770490405</v>
      </c>
      <c r="S204" s="5">
        <f t="shared" si="26"/>
        <v>0.40265486725663718</v>
      </c>
      <c r="T204" s="3">
        <f t="shared" si="27"/>
        <v>0</v>
      </c>
      <c r="U204" s="3" t="s">
        <v>96</v>
      </c>
      <c r="V204" s="3">
        <v>3</v>
      </c>
      <c r="W204" s="6">
        <v>6.2</v>
      </c>
      <c r="X204" s="4">
        <v>8</v>
      </c>
      <c r="Y204" s="5">
        <v>0.2</v>
      </c>
      <c r="Z204" s="5">
        <v>1</v>
      </c>
      <c r="AA204" s="3" t="s">
        <v>80</v>
      </c>
      <c r="AB204" s="3">
        <v>0</v>
      </c>
      <c r="AC204" s="3" t="s">
        <v>113</v>
      </c>
      <c r="AD204" s="3">
        <v>0</v>
      </c>
      <c r="AE204" s="3" t="s">
        <v>98</v>
      </c>
      <c r="AF204" s="3">
        <v>0</v>
      </c>
      <c r="AG204" s="3" t="s">
        <v>82</v>
      </c>
      <c r="AH204" s="3">
        <v>1</v>
      </c>
      <c r="AI204" s="3">
        <v>1</v>
      </c>
      <c r="AJ204" s="3">
        <v>1</v>
      </c>
      <c r="AK204" s="3">
        <v>0</v>
      </c>
      <c r="AL204" s="3">
        <v>0</v>
      </c>
      <c r="AM204" s="3">
        <v>0</v>
      </c>
      <c r="AN204" s="3">
        <v>1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1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7" t="s">
        <v>119</v>
      </c>
      <c r="BX204" s="7" t="s">
        <v>337</v>
      </c>
    </row>
    <row r="205" spans="1:76">
      <c r="A205" s="3" t="s">
        <v>636</v>
      </c>
      <c r="B205" s="3">
        <v>3718</v>
      </c>
      <c r="C205" s="3" t="s">
        <v>637</v>
      </c>
      <c r="D205" s="3">
        <v>1</v>
      </c>
      <c r="E205" s="4">
        <v>66</v>
      </c>
      <c r="F205" s="3" t="s">
        <v>78</v>
      </c>
      <c r="G205" s="3">
        <v>0</v>
      </c>
      <c r="H205" s="3">
        <v>1</v>
      </c>
      <c r="I205" s="4">
        <v>169</v>
      </c>
      <c r="J205" s="4">
        <v>82</v>
      </c>
      <c r="K205" s="4">
        <v>251</v>
      </c>
      <c r="L205" s="5">
        <f>IF(F205="F",65.79,IF(F205="M",79.94,""))</f>
        <v>79.94</v>
      </c>
      <c r="M205" s="3">
        <f t="shared" si="21"/>
        <v>1</v>
      </c>
      <c r="N205" s="3" t="str">
        <f t="shared" si="22"/>
        <v>VSC-halitosis</v>
      </c>
      <c r="O205" s="3" t="str">
        <f t="shared" si="23"/>
        <v>Clinical- / VSC+</v>
      </c>
      <c r="P205" s="5">
        <f t="shared" si="24"/>
        <v>5.5254529391317835</v>
      </c>
      <c r="Q205" s="5">
        <f t="shared" si="25"/>
        <v>5.1357984370502621</v>
      </c>
      <c r="R205" s="5">
        <f t="shared" si="25"/>
        <v>4.4188406077965983</v>
      </c>
      <c r="S205" s="5">
        <f t="shared" si="26"/>
        <v>0.32669322709163345</v>
      </c>
      <c r="T205" s="3">
        <f t="shared" si="27"/>
        <v>0</v>
      </c>
      <c r="U205" s="3" t="s">
        <v>96</v>
      </c>
      <c r="V205" s="3">
        <v>3</v>
      </c>
      <c r="W205" s="6">
        <v>7.4</v>
      </c>
      <c r="X205" s="4">
        <v>8</v>
      </c>
      <c r="Y205" s="5">
        <v>0.5</v>
      </c>
      <c r="Z205" s="5">
        <v>2</v>
      </c>
      <c r="AA205" s="3" t="s">
        <v>80</v>
      </c>
      <c r="AB205" s="3">
        <v>0</v>
      </c>
      <c r="AC205" s="3" t="s">
        <v>81</v>
      </c>
      <c r="AD205" s="3">
        <v>0</v>
      </c>
      <c r="AE205" s="3" t="s">
        <v>82</v>
      </c>
      <c r="AF205" s="3">
        <v>1</v>
      </c>
      <c r="AG205" s="3" t="s">
        <v>82</v>
      </c>
      <c r="AH205" s="3">
        <v>1</v>
      </c>
      <c r="AI205" s="3">
        <v>2</v>
      </c>
      <c r="AJ205" s="3">
        <v>0</v>
      </c>
      <c r="AK205" s="3">
        <v>0</v>
      </c>
      <c r="AL205" s="3">
        <v>1</v>
      </c>
      <c r="AM205" s="3">
        <v>0</v>
      </c>
      <c r="AN205" s="3">
        <v>0</v>
      </c>
      <c r="AO205" s="3">
        <v>1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7" t="s">
        <v>638</v>
      </c>
      <c r="BX205" s="7" t="s">
        <v>639</v>
      </c>
    </row>
    <row r="206" spans="1:76">
      <c r="A206" s="3" t="s">
        <v>640</v>
      </c>
      <c r="B206" s="3">
        <v>5401</v>
      </c>
      <c r="C206" s="3" t="s">
        <v>641</v>
      </c>
      <c r="D206" s="3">
        <v>1</v>
      </c>
      <c r="E206" s="4">
        <v>70</v>
      </c>
      <c r="F206" s="3" t="s">
        <v>78</v>
      </c>
      <c r="G206" s="3">
        <v>0</v>
      </c>
      <c r="H206" s="3">
        <v>0</v>
      </c>
      <c r="I206" s="4">
        <v>51</v>
      </c>
      <c r="J206" s="4">
        <v>3</v>
      </c>
      <c r="K206" s="4">
        <v>54</v>
      </c>
      <c r="L206" s="5">
        <f>IF(F206="F",65.79,IF(F206="M",79.94,""))</f>
        <v>79.94</v>
      </c>
      <c r="M206" s="3">
        <f t="shared" si="21"/>
        <v>0</v>
      </c>
      <c r="N206" s="3" t="str">
        <f t="shared" si="22"/>
        <v>VSC-non-halitosis</v>
      </c>
      <c r="O206" s="3" t="str">
        <f t="shared" si="23"/>
        <v>Clinical- / VSC-</v>
      </c>
      <c r="P206" s="5">
        <f t="shared" si="24"/>
        <v>3.9889840465642745</v>
      </c>
      <c r="Q206" s="5">
        <f t="shared" si="25"/>
        <v>3.9512437185814275</v>
      </c>
      <c r="R206" s="5">
        <f t="shared" si="25"/>
        <v>1.3862943611198906</v>
      </c>
      <c r="S206" s="5">
        <f t="shared" si="26"/>
        <v>5.5555555555555552E-2</v>
      </c>
      <c r="T206" s="3">
        <f t="shared" si="27"/>
        <v>0</v>
      </c>
      <c r="U206" s="3" t="s">
        <v>96</v>
      </c>
      <c r="V206" s="3">
        <v>3</v>
      </c>
      <c r="W206" s="6">
        <v>5.8</v>
      </c>
      <c r="X206" s="4">
        <v>8</v>
      </c>
      <c r="Y206" s="5">
        <v>0.3</v>
      </c>
      <c r="Z206" s="5">
        <v>1.4</v>
      </c>
      <c r="AA206" s="3" t="s">
        <v>80</v>
      </c>
      <c r="AB206" s="3">
        <v>0</v>
      </c>
      <c r="AC206" s="3" t="s">
        <v>81</v>
      </c>
      <c r="AD206" s="3">
        <v>0</v>
      </c>
      <c r="AE206" s="3" t="s">
        <v>82</v>
      </c>
      <c r="AF206" s="3">
        <v>1</v>
      </c>
      <c r="AG206" s="3" t="s">
        <v>82</v>
      </c>
      <c r="AH206" s="3">
        <v>1</v>
      </c>
      <c r="AI206" s="3">
        <v>2</v>
      </c>
      <c r="AJ206" s="3">
        <v>2</v>
      </c>
      <c r="AK206" s="3">
        <v>1</v>
      </c>
      <c r="AL206" s="3">
        <v>0</v>
      </c>
      <c r="AM206" s="3">
        <v>0</v>
      </c>
      <c r="AN206" s="3">
        <v>1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1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1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1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7" t="s">
        <v>397</v>
      </c>
      <c r="BX206" s="7" t="s">
        <v>642</v>
      </c>
    </row>
    <row r="207" spans="1:76">
      <c r="A207" s="3" t="s">
        <v>643</v>
      </c>
      <c r="B207" s="3">
        <v>3489</v>
      </c>
      <c r="C207" s="3" t="s">
        <v>644</v>
      </c>
      <c r="D207" s="3">
        <v>8</v>
      </c>
      <c r="E207" s="4">
        <v>83</v>
      </c>
      <c r="F207" s="3" t="s">
        <v>87</v>
      </c>
      <c r="G207" s="3">
        <v>0</v>
      </c>
      <c r="H207" s="3">
        <v>0</v>
      </c>
      <c r="I207" s="4">
        <v>109</v>
      </c>
      <c r="J207" s="4">
        <v>81</v>
      </c>
      <c r="K207" s="4">
        <v>190</v>
      </c>
      <c r="L207" s="5">
        <f>IF(F207="F",65.79,IF(F207="M",79.94,""))</f>
        <v>65.790000000000006</v>
      </c>
      <c r="M207" s="3">
        <f t="shared" si="21"/>
        <v>1</v>
      </c>
      <c r="N207" s="3" t="str">
        <f t="shared" si="22"/>
        <v>VSC-halitosis</v>
      </c>
      <c r="O207" s="3" t="str">
        <f t="shared" si="23"/>
        <v>Clinical- / VSC+</v>
      </c>
      <c r="P207" s="5">
        <f t="shared" si="24"/>
        <v>5.2470240721604862</v>
      </c>
      <c r="Q207" s="5">
        <f t="shared" si="25"/>
        <v>4.7004803657924166</v>
      </c>
      <c r="R207" s="5">
        <f t="shared" si="25"/>
        <v>4.4067192472642533</v>
      </c>
      <c r="S207" s="5">
        <f t="shared" si="26"/>
        <v>0.4263157894736842</v>
      </c>
      <c r="T207" s="3">
        <f t="shared" si="27"/>
        <v>0</v>
      </c>
      <c r="U207" s="3" t="s">
        <v>96</v>
      </c>
      <c r="V207" s="3">
        <v>3</v>
      </c>
      <c r="W207" s="6">
        <v>7.4</v>
      </c>
      <c r="X207" s="4">
        <v>11</v>
      </c>
      <c r="Y207" s="5">
        <v>0.55000000000000004</v>
      </c>
      <c r="Z207" s="5">
        <v>2</v>
      </c>
      <c r="AA207" s="3" t="s">
        <v>80</v>
      </c>
      <c r="AB207" s="3">
        <v>0</v>
      </c>
      <c r="AC207" s="3" t="s">
        <v>81</v>
      </c>
      <c r="AD207" s="3">
        <v>0</v>
      </c>
      <c r="AE207" s="3" t="s">
        <v>98</v>
      </c>
      <c r="AF207" s="3">
        <v>0</v>
      </c>
      <c r="AG207" s="3" t="s">
        <v>82</v>
      </c>
      <c r="AH207" s="3">
        <v>1</v>
      </c>
      <c r="AI207" s="3">
        <v>3</v>
      </c>
      <c r="AJ207" s="3">
        <v>2</v>
      </c>
      <c r="AK207" s="3">
        <v>1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1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1</v>
      </c>
      <c r="BC207" s="3">
        <v>0</v>
      </c>
      <c r="BD207" s="3">
        <v>0</v>
      </c>
      <c r="BE207" s="3">
        <v>0</v>
      </c>
      <c r="BF207" s="3">
        <v>0</v>
      </c>
      <c r="BG207" s="3">
        <v>1</v>
      </c>
      <c r="BH207" s="3">
        <v>1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7" t="s">
        <v>645</v>
      </c>
      <c r="BX207" s="7" t="s">
        <v>646</v>
      </c>
    </row>
    <row r="208" spans="1:76">
      <c r="A208" s="3" t="s">
        <v>647</v>
      </c>
      <c r="B208" s="3">
        <v>5788</v>
      </c>
      <c r="C208" s="3" t="s">
        <v>644</v>
      </c>
      <c r="D208" s="3">
        <v>8</v>
      </c>
      <c r="E208" s="4">
        <v>83</v>
      </c>
      <c r="F208" s="3" t="s">
        <v>87</v>
      </c>
      <c r="G208" s="3">
        <v>0</v>
      </c>
      <c r="H208" s="3">
        <v>0</v>
      </c>
      <c r="I208" s="4">
        <v>109</v>
      </c>
      <c r="J208" s="4">
        <v>81</v>
      </c>
      <c r="K208" s="4">
        <v>190</v>
      </c>
      <c r="L208" s="5">
        <f>IF(F208="F",65.79,IF(F208="M",79.94,""))</f>
        <v>65.790000000000006</v>
      </c>
      <c r="M208" s="3">
        <f t="shared" si="21"/>
        <v>1</v>
      </c>
      <c r="N208" s="3" t="str">
        <f t="shared" si="22"/>
        <v>VSC-halitosis</v>
      </c>
      <c r="O208" s="3" t="str">
        <f t="shared" si="23"/>
        <v>Clinical- / VSC+</v>
      </c>
      <c r="P208" s="5">
        <f t="shared" si="24"/>
        <v>5.2470240721604862</v>
      </c>
      <c r="Q208" s="5">
        <f t="shared" si="25"/>
        <v>4.7004803657924166</v>
      </c>
      <c r="R208" s="5">
        <f t="shared" si="25"/>
        <v>4.4067192472642533</v>
      </c>
      <c r="S208" s="5">
        <f t="shared" si="26"/>
        <v>0.4263157894736842</v>
      </c>
      <c r="T208" s="3">
        <f t="shared" si="27"/>
        <v>0</v>
      </c>
      <c r="U208" s="3" t="s">
        <v>96</v>
      </c>
      <c r="V208" s="3">
        <v>3</v>
      </c>
      <c r="W208" s="6">
        <v>7.4</v>
      </c>
      <c r="X208" s="4">
        <v>11</v>
      </c>
      <c r="Y208" s="5">
        <v>0.55000000000000004</v>
      </c>
      <c r="Z208" s="5">
        <v>2</v>
      </c>
      <c r="AA208" s="3" t="s">
        <v>80</v>
      </c>
      <c r="AB208" s="3">
        <v>0</v>
      </c>
      <c r="AC208" s="3" t="s">
        <v>81</v>
      </c>
      <c r="AD208" s="3">
        <v>0</v>
      </c>
      <c r="AE208" s="3" t="s">
        <v>98</v>
      </c>
      <c r="AF208" s="3">
        <v>0</v>
      </c>
      <c r="AG208" s="3" t="s">
        <v>98</v>
      </c>
      <c r="AH208" s="3">
        <v>0</v>
      </c>
      <c r="AI208" s="3">
        <v>2</v>
      </c>
      <c r="AJ208" s="3">
        <v>0</v>
      </c>
      <c r="AK208" s="3">
        <v>0</v>
      </c>
      <c r="AL208" s="3">
        <v>1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1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7" t="s">
        <v>186</v>
      </c>
      <c r="BX208" s="7" t="s">
        <v>648</v>
      </c>
    </row>
    <row r="209" spans="1:76">
      <c r="A209" s="3" t="s">
        <v>649</v>
      </c>
      <c r="B209" s="3">
        <v>3489</v>
      </c>
      <c r="C209" s="3" t="s">
        <v>644</v>
      </c>
      <c r="D209" s="3">
        <v>8</v>
      </c>
      <c r="E209" s="4">
        <v>83</v>
      </c>
      <c r="F209" s="3" t="s">
        <v>87</v>
      </c>
      <c r="G209" s="3">
        <v>0</v>
      </c>
      <c r="H209" s="3">
        <v>0</v>
      </c>
      <c r="I209" s="4">
        <v>109</v>
      </c>
      <c r="J209" s="4">
        <v>81</v>
      </c>
      <c r="K209" s="4">
        <v>190</v>
      </c>
      <c r="L209" s="5">
        <f>IF(F209="F",65.79,IF(F209="M",79.94,""))</f>
        <v>65.790000000000006</v>
      </c>
      <c r="M209" s="3">
        <f t="shared" si="21"/>
        <v>1</v>
      </c>
      <c r="N209" s="3" t="str">
        <f t="shared" si="22"/>
        <v>VSC-halitosis</v>
      </c>
      <c r="O209" s="3" t="str">
        <f t="shared" si="23"/>
        <v>Clinical- / VSC+</v>
      </c>
      <c r="P209" s="5">
        <f t="shared" si="24"/>
        <v>5.2470240721604862</v>
      </c>
      <c r="Q209" s="5">
        <f t="shared" si="25"/>
        <v>4.7004803657924166</v>
      </c>
      <c r="R209" s="5">
        <f t="shared" si="25"/>
        <v>4.4067192472642533</v>
      </c>
      <c r="S209" s="5">
        <f t="shared" si="26"/>
        <v>0.4263157894736842</v>
      </c>
      <c r="T209" s="3">
        <f t="shared" si="27"/>
        <v>0</v>
      </c>
      <c r="U209" s="3" t="s">
        <v>96</v>
      </c>
      <c r="V209" s="3">
        <v>3</v>
      </c>
      <c r="W209" s="6">
        <v>7</v>
      </c>
      <c r="X209" s="4">
        <v>8</v>
      </c>
      <c r="Y209" s="5">
        <v>0.77</v>
      </c>
      <c r="Z209" s="5">
        <v>1</v>
      </c>
      <c r="AA209" s="3" t="s">
        <v>80</v>
      </c>
      <c r="AB209" s="3">
        <v>0</v>
      </c>
      <c r="AC209" s="3" t="s">
        <v>81</v>
      </c>
      <c r="AD209" s="3">
        <v>0</v>
      </c>
      <c r="AE209" s="3" t="s">
        <v>98</v>
      </c>
      <c r="AF209" s="3">
        <v>0</v>
      </c>
      <c r="AG209" s="3" t="s">
        <v>82</v>
      </c>
      <c r="AH209" s="3">
        <v>1</v>
      </c>
      <c r="AI209" s="3">
        <v>3</v>
      </c>
      <c r="AJ209" s="3">
        <v>2</v>
      </c>
      <c r="AK209" s="3">
        <v>1</v>
      </c>
      <c r="AL209" s="3">
        <v>1</v>
      </c>
      <c r="AM209" s="3">
        <v>0</v>
      </c>
      <c r="AN209" s="3">
        <v>0</v>
      </c>
      <c r="AO209" s="3">
        <v>0</v>
      </c>
      <c r="AP209" s="3">
        <v>0</v>
      </c>
      <c r="AQ209" s="3">
        <v>1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1</v>
      </c>
      <c r="BC209" s="3">
        <v>0</v>
      </c>
      <c r="BD209" s="3">
        <v>0</v>
      </c>
      <c r="BE209" s="3">
        <v>0</v>
      </c>
      <c r="BF209" s="3">
        <v>0</v>
      </c>
      <c r="BG209" s="3">
        <v>1</v>
      </c>
      <c r="BH209" s="3">
        <v>1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7" t="s">
        <v>645</v>
      </c>
      <c r="BX209" s="7" t="s">
        <v>646</v>
      </c>
    </row>
    <row r="210" spans="1:76">
      <c r="A210" s="3" t="s">
        <v>650</v>
      </c>
      <c r="B210" s="3">
        <v>5788</v>
      </c>
      <c r="C210" s="3" t="s">
        <v>644</v>
      </c>
      <c r="D210" s="3">
        <v>8</v>
      </c>
      <c r="E210" s="4">
        <v>83</v>
      </c>
      <c r="F210" s="3" t="s">
        <v>87</v>
      </c>
      <c r="G210" s="3">
        <v>0</v>
      </c>
      <c r="H210" s="3">
        <v>0</v>
      </c>
      <c r="I210" s="4">
        <v>109</v>
      </c>
      <c r="J210" s="4">
        <v>81</v>
      </c>
      <c r="K210" s="4">
        <v>190</v>
      </c>
      <c r="L210" s="5">
        <f>IF(F210="F",65.79,IF(F210="M",79.94,""))</f>
        <v>65.790000000000006</v>
      </c>
      <c r="M210" s="3">
        <f t="shared" si="21"/>
        <v>1</v>
      </c>
      <c r="N210" s="3" t="str">
        <f t="shared" si="22"/>
        <v>VSC-halitosis</v>
      </c>
      <c r="O210" s="3" t="str">
        <f t="shared" si="23"/>
        <v>Clinical- / VSC+</v>
      </c>
      <c r="P210" s="5">
        <f t="shared" si="24"/>
        <v>5.2470240721604862</v>
      </c>
      <c r="Q210" s="5">
        <f t="shared" si="25"/>
        <v>4.7004803657924166</v>
      </c>
      <c r="R210" s="5">
        <f t="shared" si="25"/>
        <v>4.4067192472642533</v>
      </c>
      <c r="S210" s="5">
        <f t="shared" si="26"/>
        <v>0.4263157894736842</v>
      </c>
      <c r="T210" s="3">
        <f t="shared" si="27"/>
        <v>0</v>
      </c>
      <c r="U210" s="3" t="s">
        <v>96</v>
      </c>
      <c r="V210" s="3">
        <v>3</v>
      </c>
      <c r="W210" s="6">
        <v>7</v>
      </c>
      <c r="X210" s="4">
        <v>8</v>
      </c>
      <c r="Y210" s="5">
        <v>0.77</v>
      </c>
      <c r="Z210" s="5">
        <v>1</v>
      </c>
      <c r="AA210" s="3" t="s">
        <v>80</v>
      </c>
      <c r="AB210" s="3">
        <v>0</v>
      </c>
      <c r="AC210" s="3" t="s">
        <v>81</v>
      </c>
      <c r="AD210" s="3">
        <v>0</v>
      </c>
      <c r="AE210" s="3" t="s">
        <v>98</v>
      </c>
      <c r="AF210" s="3">
        <v>0</v>
      </c>
      <c r="AG210" s="3" t="s">
        <v>98</v>
      </c>
      <c r="AH210" s="3">
        <v>0</v>
      </c>
      <c r="AI210" s="3">
        <v>2</v>
      </c>
      <c r="AJ210" s="3">
        <v>0</v>
      </c>
      <c r="AK210" s="3">
        <v>0</v>
      </c>
      <c r="AL210" s="3">
        <v>1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1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7" t="s">
        <v>186</v>
      </c>
      <c r="BX210" s="7" t="s">
        <v>648</v>
      </c>
    </row>
    <row r="211" spans="1:76">
      <c r="A211" s="3" t="s">
        <v>651</v>
      </c>
      <c r="B211" s="3">
        <v>3489</v>
      </c>
      <c r="C211" s="3" t="s">
        <v>644</v>
      </c>
      <c r="D211" s="3">
        <v>8</v>
      </c>
      <c r="E211" s="4">
        <v>86</v>
      </c>
      <c r="F211" s="3" t="s">
        <v>87</v>
      </c>
      <c r="G211" s="3">
        <v>0</v>
      </c>
      <c r="H211" s="3">
        <v>0</v>
      </c>
      <c r="I211" s="4">
        <v>17</v>
      </c>
      <c r="J211" s="4">
        <v>1</v>
      </c>
      <c r="K211" s="4">
        <v>18</v>
      </c>
      <c r="L211" s="5">
        <f>IF(F211="F",65.79,IF(F211="M",79.94,""))</f>
        <v>65.790000000000006</v>
      </c>
      <c r="M211" s="3">
        <f t="shared" si="21"/>
        <v>0</v>
      </c>
      <c r="N211" s="3" t="str">
        <f t="shared" si="22"/>
        <v>VSC-non-halitosis</v>
      </c>
      <c r="O211" s="3" t="str">
        <f t="shared" si="23"/>
        <v>Clinical- / VSC-</v>
      </c>
      <c r="P211" s="5">
        <f t="shared" si="24"/>
        <v>2.8903717578961645</v>
      </c>
      <c r="Q211" s="5">
        <f t="shared" si="25"/>
        <v>2.8903717578961645</v>
      </c>
      <c r="R211" s="5">
        <f t="shared" si="25"/>
        <v>0.69314718055994529</v>
      </c>
      <c r="S211" s="5">
        <f t="shared" si="26"/>
        <v>5.5555555555555552E-2</v>
      </c>
      <c r="T211" s="3">
        <f t="shared" si="27"/>
        <v>0</v>
      </c>
      <c r="U211" s="3" t="s">
        <v>79</v>
      </c>
      <c r="V211" s="3">
        <v>2</v>
      </c>
      <c r="W211" s="6">
        <v>7.4</v>
      </c>
      <c r="X211" s="4">
        <v>11</v>
      </c>
      <c r="Y211" s="5">
        <v>0.55000000000000004</v>
      </c>
      <c r="Z211" s="5">
        <v>2</v>
      </c>
      <c r="AA211" s="3" t="s">
        <v>80</v>
      </c>
      <c r="AB211" s="3">
        <v>0</v>
      </c>
      <c r="AC211" s="3" t="s">
        <v>81</v>
      </c>
      <c r="AD211" s="3">
        <v>0</v>
      </c>
      <c r="AE211" s="3" t="s">
        <v>98</v>
      </c>
      <c r="AF211" s="3">
        <v>0</v>
      </c>
      <c r="AG211" s="3" t="s">
        <v>82</v>
      </c>
      <c r="AH211" s="3">
        <v>1</v>
      </c>
      <c r="AI211" s="3">
        <v>3</v>
      </c>
      <c r="AJ211" s="3">
        <v>2</v>
      </c>
      <c r="AK211" s="3">
        <v>1</v>
      </c>
      <c r="AL211" s="3">
        <v>1</v>
      </c>
      <c r="AM211" s="3">
        <v>0</v>
      </c>
      <c r="AN211" s="3">
        <v>0</v>
      </c>
      <c r="AO211" s="3">
        <v>0</v>
      </c>
      <c r="AP211" s="3">
        <v>0</v>
      </c>
      <c r="AQ211" s="3">
        <v>1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1</v>
      </c>
      <c r="BC211" s="3">
        <v>0</v>
      </c>
      <c r="BD211" s="3">
        <v>0</v>
      </c>
      <c r="BE211" s="3">
        <v>0</v>
      </c>
      <c r="BF211" s="3">
        <v>0</v>
      </c>
      <c r="BG211" s="3">
        <v>1</v>
      </c>
      <c r="BH211" s="3">
        <v>1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7" t="s">
        <v>645</v>
      </c>
      <c r="BX211" s="7" t="s">
        <v>646</v>
      </c>
    </row>
    <row r="212" spans="1:76">
      <c r="A212" s="3" t="s">
        <v>652</v>
      </c>
      <c r="B212" s="3">
        <v>5788</v>
      </c>
      <c r="C212" s="3" t="s">
        <v>644</v>
      </c>
      <c r="D212" s="3">
        <v>8</v>
      </c>
      <c r="E212" s="4">
        <v>86</v>
      </c>
      <c r="F212" s="3" t="s">
        <v>87</v>
      </c>
      <c r="G212" s="3">
        <v>0</v>
      </c>
      <c r="H212" s="3">
        <v>0</v>
      </c>
      <c r="I212" s="4">
        <v>17</v>
      </c>
      <c r="J212" s="4">
        <v>1</v>
      </c>
      <c r="K212" s="4">
        <v>18</v>
      </c>
      <c r="L212" s="5">
        <f>IF(F212="F",65.79,IF(F212="M",79.94,""))</f>
        <v>65.790000000000006</v>
      </c>
      <c r="M212" s="3">
        <f t="shared" si="21"/>
        <v>0</v>
      </c>
      <c r="N212" s="3" t="str">
        <f t="shared" si="22"/>
        <v>VSC-non-halitosis</v>
      </c>
      <c r="O212" s="3" t="str">
        <f t="shared" si="23"/>
        <v>Clinical- / VSC-</v>
      </c>
      <c r="P212" s="5">
        <f t="shared" si="24"/>
        <v>2.8903717578961645</v>
      </c>
      <c r="Q212" s="5">
        <f t="shared" si="25"/>
        <v>2.8903717578961645</v>
      </c>
      <c r="R212" s="5">
        <f t="shared" si="25"/>
        <v>0.69314718055994529</v>
      </c>
      <c r="S212" s="5">
        <f t="shared" si="26"/>
        <v>5.5555555555555552E-2</v>
      </c>
      <c r="T212" s="3">
        <f t="shared" si="27"/>
        <v>0</v>
      </c>
      <c r="U212" s="3" t="s">
        <v>79</v>
      </c>
      <c r="V212" s="3">
        <v>2</v>
      </c>
      <c r="W212" s="6">
        <v>7.4</v>
      </c>
      <c r="X212" s="4">
        <v>11</v>
      </c>
      <c r="Y212" s="5">
        <v>0.55000000000000004</v>
      </c>
      <c r="Z212" s="5">
        <v>2</v>
      </c>
      <c r="AA212" s="3" t="s">
        <v>80</v>
      </c>
      <c r="AB212" s="3">
        <v>0</v>
      </c>
      <c r="AC212" s="3" t="s">
        <v>81</v>
      </c>
      <c r="AD212" s="3">
        <v>0</v>
      </c>
      <c r="AE212" s="3" t="s">
        <v>98</v>
      </c>
      <c r="AF212" s="3">
        <v>0</v>
      </c>
      <c r="AG212" s="3" t="s">
        <v>98</v>
      </c>
      <c r="AH212" s="3">
        <v>0</v>
      </c>
      <c r="AI212" s="3">
        <v>2</v>
      </c>
      <c r="AJ212" s="3">
        <v>0</v>
      </c>
      <c r="AK212" s="3">
        <v>0</v>
      </c>
      <c r="AL212" s="3">
        <v>1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1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7" t="s">
        <v>186</v>
      </c>
      <c r="BX212" s="7" t="s">
        <v>648</v>
      </c>
    </row>
    <row r="213" spans="1:76">
      <c r="A213" s="3" t="s">
        <v>653</v>
      </c>
      <c r="B213" s="3">
        <v>3489</v>
      </c>
      <c r="C213" s="3" t="s">
        <v>644</v>
      </c>
      <c r="D213" s="3">
        <v>8</v>
      </c>
      <c r="E213" s="4">
        <v>86</v>
      </c>
      <c r="F213" s="3" t="s">
        <v>87</v>
      </c>
      <c r="G213" s="3">
        <v>0</v>
      </c>
      <c r="H213" s="3">
        <v>0</v>
      </c>
      <c r="I213" s="4">
        <v>17</v>
      </c>
      <c r="J213" s="4">
        <v>1</v>
      </c>
      <c r="K213" s="4">
        <v>18</v>
      </c>
      <c r="L213" s="5">
        <f>IF(F213="F",65.79,IF(F213="M",79.94,""))</f>
        <v>65.790000000000006</v>
      </c>
      <c r="M213" s="3">
        <f t="shared" si="21"/>
        <v>0</v>
      </c>
      <c r="N213" s="3" t="str">
        <f t="shared" si="22"/>
        <v>VSC-non-halitosis</v>
      </c>
      <c r="O213" s="3" t="str">
        <f t="shared" si="23"/>
        <v>Clinical- / VSC-</v>
      </c>
      <c r="P213" s="5">
        <f t="shared" si="24"/>
        <v>2.8903717578961645</v>
      </c>
      <c r="Q213" s="5">
        <f t="shared" si="25"/>
        <v>2.8903717578961645</v>
      </c>
      <c r="R213" s="5">
        <f t="shared" si="25"/>
        <v>0.69314718055994529</v>
      </c>
      <c r="S213" s="5">
        <f t="shared" si="26"/>
        <v>5.5555555555555552E-2</v>
      </c>
      <c r="T213" s="3">
        <f t="shared" si="27"/>
        <v>0</v>
      </c>
      <c r="U213" s="3" t="s">
        <v>79</v>
      </c>
      <c r="V213" s="3">
        <v>2</v>
      </c>
      <c r="W213" s="6">
        <v>7</v>
      </c>
      <c r="X213" s="4">
        <v>8</v>
      </c>
      <c r="Y213" s="5">
        <v>0.77</v>
      </c>
      <c r="Z213" s="5">
        <v>1</v>
      </c>
      <c r="AA213" s="3" t="s">
        <v>80</v>
      </c>
      <c r="AB213" s="3">
        <v>0</v>
      </c>
      <c r="AC213" s="3" t="s">
        <v>81</v>
      </c>
      <c r="AD213" s="3">
        <v>0</v>
      </c>
      <c r="AE213" s="3" t="s">
        <v>98</v>
      </c>
      <c r="AF213" s="3">
        <v>0</v>
      </c>
      <c r="AG213" s="3" t="s">
        <v>82</v>
      </c>
      <c r="AH213" s="3">
        <v>1</v>
      </c>
      <c r="AI213" s="3">
        <v>3</v>
      </c>
      <c r="AJ213" s="3">
        <v>2</v>
      </c>
      <c r="AK213" s="3">
        <v>1</v>
      </c>
      <c r="AL213" s="3">
        <v>1</v>
      </c>
      <c r="AM213" s="3">
        <v>0</v>
      </c>
      <c r="AN213" s="3">
        <v>0</v>
      </c>
      <c r="AO213" s="3">
        <v>0</v>
      </c>
      <c r="AP213" s="3">
        <v>0</v>
      </c>
      <c r="AQ213" s="3">
        <v>1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1</v>
      </c>
      <c r="BC213" s="3">
        <v>0</v>
      </c>
      <c r="BD213" s="3">
        <v>0</v>
      </c>
      <c r="BE213" s="3">
        <v>0</v>
      </c>
      <c r="BF213" s="3">
        <v>0</v>
      </c>
      <c r="BG213" s="3">
        <v>1</v>
      </c>
      <c r="BH213" s="3">
        <v>1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7" t="s">
        <v>645</v>
      </c>
      <c r="BX213" s="7" t="s">
        <v>646</v>
      </c>
    </row>
    <row r="214" spans="1:76">
      <c r="A214" s="3" t="s">
        <v>654</v>
      </c>
      <c r="B214" s="3">
        <v>5788</v>
      </c>
      <c r="C214" s="3" t="s">
        <v>644</v>
      </c>
      <c r="D214" s="3">
        <v>8</v>
      </c>
      <c r="E214" s="4">
        <v>86</v>
      </c>
      <c r="F214" s="3" t="s">
        <v>87</v>
      </c>
      <c r="G214" s="3">
        <v>0</v>
      </c>
      <c r="H214" s="3">
        <v>0</v>
      </c>
      <c r="I214" s="4">
        <v>17</v>
      </c>
      <c r="J214" s="4">
        <v>1</v>
      </c>
      <c r="K214" s="4">
        <v>18</v>
      </c>
      <c r="L214" s="5">
        <f>IF(F214="F",65.79,IF(F214="M",79.94,""))</f>
        <v>65.790000000000006</v>
      </c>
      <c r="M214" s="3">
        <f t="shared" si="21"/>
        <v>0</v>
      </c>
      <c r="N214" s="3" t="str">
        <f t="shared" si="22"/>
        <v>VSC-non-halitosis</v>
      </c>
      <c r="O214" s="3" t="str">
        <f t="shared" si="23"/>
        <v>Clinical- / VSC-</v>
      </c>
      <c r="P214" s="5">
        <f t="shared" si="24"/>
        <v>2.8903717578961645</v>
      </c>
      <c r="Q214" s="5">
        <f t="shared" si="25"/>
        <v>2.8903717578961645</v>
      </c>
      <c r="R214" s="5">
        <f t="shared" si="25"/>
        <v>0.69314718055994529</v>
      </c>
      <c r="S214" s="5">
        <f t="shared" si="26"/>
        <v>5.5555555555555552E-2</v>
      </c>
      <c r="T214" s="3">
        <f t="shared" si="27"/>
        <v>0</v>
      </c>
      <c r="U214" s="3" t="s">
        <v>79</v>
      </c>
      <c r="V214" s="3">
        <v>2</v>
      </c>
      <c r="W214" s="6">
        <v>7</v>
      </c>
      <c r="X214" s="4">
        <v>8</v>
      </c>
      <c r="Y214" s="5">
        <v>0.77</v>
      </c>
      <c r="Z214" s="5">
        <v>1</v>
      </c>
      <c r="AA214" s="3" t="s">
        <v>80</v>
      </c>
      <c r="AB214" s="3">
        <v>0</v>
      </c>
      <c r="AC214" s="3" t="s">
        <v>81</v>
      </c>
      <c r="AD214" s="3">
        <v>0</v>
      </c>
      <c r="AE214" s="3" t="s">
        <v>98</v>
      </c>
      <c r="AF214" s="3">
        <v>0</v>
      </c>
      <c r="AG214" s="3" t="s">
        <v>98</v>
      </c>
      <c r="AH214" s="3">
        <v>0</v>
      </c>
      <c r="AI214" s="3">
        <v>2</v>
      </c>
      <c r="AJ214" s="3">
        <v>0</v>
      </c>
      <c r="AK214" s="3">
        <v>0</v>
      </c>
      <c r="AL214" s="3">
        <v>1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1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7" t="s">
        <v>186</v>
      </c>
      <c r="BX214" s="7" t="s">
        <v>648</v>
      </c>
    </row>
    <row r="215" spans="1:76">
      <c r="A215" s="3" t="s">
        <v>655</v>
      </c>
      <c r="B215" s="3">
        <v>3441</v>
      </c>
      <c r="C215" s="3" t="s">
        <v>656</v>
      </c>
      <c r="D215" s="3">
        <v>1</v>
      </c>
      <c r="E215" s="4">
        <v>82</v>
      </c>
      <c r="F215" s="3" t="s">
        <v>78</v>
      </c>
      <c r="G215" s="3">
        <v>0</v>
      </c>
      <c r="H215" s="3">
        <v>0</v>
      </c>
      <c r="I215" s="4">
        <v>0</v>
      </c>
      <c r="J215" s="4">
        <v>1</v>
      </c>
      <c r="K215" s="4">
        <v>1</v>
      </c>
      <c r="L215" s="5">
        <f>IF(F215="F",65.79,IF(F215="M",79.94,""))</f>
        <v>79.94</v>
      </c>
      <c r="M215" s="3">
        <f t="shared" si="21"/>
        <v>0</v>
      </c>
      <c r="N215" s="3" t="str">
        <f t="shared" si="22"/>
        <v>VSC-non-halitosis</v>
      </c>
      <c r="O215" s="3" t="str">
        <f t="shared" si="23"/>
        <v>Clinical- / VSC-</v>
      </c>
      <c r="P215" s="5">
        <f t="shared" si="24"/>
        <v>0</v>
      </c>
      <c r="Q215" s="5">
        <f t="shared" si="25"/>
        <v>0</v>
      </c>
      <c r="R215" s="5">
        <f t="shared" si="25"/>
        <v>0.69314718055994529</v>
      </c>
      <c r="S215" s="5">
        <f t="shared" si="26"/>
        <v>1</v>
      </c>
      <c r="T215" s="3">
        <f t="shared" si="27"/>
        <v>1</v>
      </c>
      <c r="U215" s="3" t="s">
        <v>102</v>
      </c>
      <c r="V215" s="3">
        <v>1</v>
      </c>
      <c r="W215" s="6">
        <v>6.2</v>
      </c>
      <c r="X215" s="4">
        <v>6</v>
      </c>
      <c r="Y215" s="5">
        <v>0.2</v>
      </c>
      <c r="Z215" s="5">
        <v>0.4</v>
      </c>
      <c r="AA215" s="3" t="s">
        <v>80</v>
      </c>
      <c r="AB215" s="3">
        <v>0</v>
      </c>
      <c r="AC215" s="3" t="s">
        <v>81</v>
      </c>
      <c r="AD215" s="3">
        <v>0</v>
      </c>
      <c r="AE215" s="3" t="s">
        <v>82</v>
      </c>
      <c r="AF215" s="3">
        <v>1</v>
      </c>
      <c r="AG215" s="3" t="s">
        <v>82</v>
      </c>
      <c r="AH215" s="3">
        <v>1</v>
      </c>
      <c r="AI215" s="3">
        <v>1</v>
      </c>
      <c r="AJ215" s="3">
        <v>1</v>
      </c>
      <c r="AK215" s="3">
        <v>1</v>
      </c>
      <c r="AL215" s="3">
        <v>1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1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7" t="s">
        <v>657</v>
      </c>
      <c r="BX215" s="7" t="s">
        <v>658</v>
      </c>
    </row>
    <row r="216" spans="1:76">
      <c r="A216" s="3" t="s">
        <v>659</v>
      </c>
      <c r="B216" s="3">
        <v>2773</v>
      </c>
      <c r="C216" s="3" t="s">
        <v>660</v>
      </c>
      <c r="D216" s="3">
        <v>4</v>
      </c>
      <c r="E216" s="4">
        <v>79</v>
      </c>
      <c r="F216" s="3" t="s">
        <v>78</v>
      </c>
      <c r="G216" s="3">
        <v>0</v>
      </c>
      <c r="H216" s="3">
        <v>0</v>
      </c>
      <c r="I216" s="4">
        <v>6</v>
      </c>
      <c r="J216" s="4">
        <v>3</v>
      </c>
      <c r="K216" s="4">
        <v>9</v>
      </c>
      <c r="L216" s="5">
        <f>IF(F216="F",65.79,IF(F216="M",79.94,""))</f>
        <v>79.94</v>
      </c>
      <c r="M216" s="3">
        <f t="shared" si="21"/>
        <v>0</v>
      </c>
      <c r="N216" s="3" t="str">
        <f t="shared" si="22"/>
        <v>VSC-non-halitosis</v>
      </c>
      <c r="O216" s="3" t="str">
        <f t="shared" si="23"/>
        <v>Clinical- / VSC-</v>
      </c>
      <c r="P216" s="5">
        <f t="shared" si="24"/>
        <v>2.1972245773362196</v>
      </c>
      <c r="Q216" s="5">
        <f t="shared" si="25"/>
        <v>1.9459101490553132</v>
      </c>
      <c r="R216" s="5">
        <f t="shared" si="25"/>
        <v>1.3862943611198906</v>
      </c>
      <c r="S216" s="5">
        <f t="shared" si="26"/>
        <v>0.33333333333333331</v>
      </c>
      <c r="T216" s="3">
        <f t="shared" si="27"/>
        <v>0</v>
      </c>
      <c r="U216" s="3" t="s">
        <v>79</v>
      </c>
      <c r="V216" s="3">
        <v>2</v>
      </c>
      <c r="W216" s="6">
        <v>5.6</v>
      </c>
      <c r="X216" s="4">
        <v>4</v>
      </c>
      <c r="Y216" s="5">
        <v>0.35</v>
      </c>
      <c r="Z216" s="5">
        <v>1</v>
      </c>
      <c r="AA216" s="3" t="s">
        <v>80</v>
      </c>
      <c r="AB216" s="3">
        <v>0</v>
      </c>
      <c r="AC216" s="3" t="s">
        <v>89</v>
      </c>
      <c r="AD216" s="3">
        <v>1</v>
      </c>
      <c r="AE216" s="3" t="s">
        <v>90</v>
      </c>
      <c r="AF216" s="3">
        <v>1</v>
      </c>
      <c r="AG216" s="3" t="s">
        <v>108</v>
      </c>
      <c r="AH216" s="3">
        <v>1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7" t="s">
        <v>119</v>
      </c>
      <c r="BX216" s="7" t="s">
        <v>119</v>
      </c>
    </row>
    <row r="217" spans="1:76">
      <c r="A217" s="3" t="s">
        <v>661</v>
      </c>
      <c r="B217" s="3">
        <v>2773</v>
      </c>
      <c r="C217" s="3" t="s">
        <v>660</v>
      </c>
      <c r="D217" s="3">
        <v>4</v>
      </c>
      <c r="E217" s="4">
        <v>79</v>
      </c>
      <c r="F217" s="3" t="s">
        <v>78</v>
      </c>
      <c r="G217" s="3">
        <v>0</v>
      </c>
      <c r="H217" s="3">
        <v>0</v>
      </c>
      <c r="I217" s="4">
        <v>6</v>
      </c>
      <c r="J217" s="4">
        <v>3</v>
      </c>
      <c r="K217" s="4">
        <v>9</v>
      </c>
      <c r="L217" s="5">
        <f>IF(F217="F",65.79,IF(F217="M",79.94,""))</f>
        <v>79.94</v>
      </c>
      <c r="M217" s="3">
        <f t="shared" si="21"/>
        <v>0</v>
      </c>
      <c r="N217" s="3" t="str">
        <f t="shared" si="22"/>
        <v>VSC-non-halitosis</v>
      </c>
      <c r="O217" s="3" t="str">
        <f t="shared" si="23"/>
        <v>Clinical- / VSC-</v>
      </c>
      <c r="P217" s="5">
        <f t="shared" si="24"/>
        <v>2.1972245773362196</v>
      </c>
      <c r="Q217" s="5">
        <f t="shared" si="25"/>
        <v>1.9459101490553132</v>
      </c>
      <c r="R217" s="5">
        <f t="shared" si="25"/>
        <v>1.3862943611198906</v>
      </c>
      <c r="S217" s="5">
        <f t="shared" si="26"/>
        <v>0.33333333333333331</v>
      </c>
      <c r="T217" s="3">
        <f t="shared" si="27"/>
        <v>0</v>
      </c>
      <c r="U217" s="3" t="s">
        <v>79</v>
      </c>
      <c r="V217" s="3">
        <v>2</v>
      </c>
      <c r="W217" s="6">
        <v>6.2</v>
      </c>
      <c r="X217" s="4">
        <v>10</v>
      </c>
      <c r="Y217" s="5">
        <v>0.6</v>
      </c>
      <c r="Z217" s="5">
        <v>2</v>
      </c>
      <c r="AA217" s="3" t="s">
        <v>80</v>
      </c>
      <c r="AB217" s="3">
        <v>0</v>
      </c>
      <c r="AC217" s="3" t="s">
        <v>89</v>
      </c>
      <c r="AD217" s="3">
        <v>1</v>
      </c>
      <c r="AE217" s="3" t="s">
        <v>90</v>
      </c>
      <c r="AF217" s="3">
        <v>1</v>
      </c>
      <c r="AG217" s="3" t="s">
        <v>108</v>
      </c>
      <c r="AH217" s="3">
        <v>1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7" t="s">
        <v>119</v>
      </c>
      <c r="BX217" s="7" t="s">
        <v>119</v>
      </c>
    </row>
    <row r="218" spans="1:76">
      <c r="A218" s="3" t="s">
        <v>662</v>
      </c>
      <c r="B218" s="3">
        <v>2773</v>
      </c>
      <c r="C218" s="3" t="s">
        <v>660</v>
      </c>
      <c r="D218" s="3">
        <v>4</v>
      </c>
      <c r="E218" s="4">
        <v>79</v>
      </c>
      <c r="F218" s="3" t="s">
        <v>78</v>
      </c>
      <c r="G218" s="3">
        <v>0</v>
      </c>
      <c r="H218" s="3">
        <v>0</v>
      </c>
      <c r="I218" s="4">
        <v>6</v>
      </c>
      <c r="J218" s="4">
        <v>3</v>
      </c>
      <c r="K218" s="4">
        <v>9</v>
      </c>
      <c r="L218" s="5">
        <f>IF(F218="F",65.79,IF(F218="M",79.94,""))</f>
        <v>79.94</v>
      </c>
      <c r="M218" s="3">
        <f t="shared" si="21"/>
        <v>0</v>
      </c>
      <c r="N218" s="3" t="str">
        <f t="shared" si="22"/>
        <v>VSC-non-halitosis</v>
      </c>
      <c r="O218" s="3" t="str">
        <f t="shared" si="23"/>
        <v>Clinical- / VSC-</v>
      </c>
      <c r="P218" s="5">
        <f t="shared" si="24"/>
        <v>2.1972245773362196</v>
      </c>
      <c r="Q218" s="5">
        <f t="shared" si="25"/>
        <v>1.9459101490553132</v>
      </c>
      <c r="R218" s="5">
        <f t="shared" si="25"/>
        <v>1.3862943611198906</v>
      </c>
      <c r="S218" s="5">
        <f t="shared" si="26"/>
        <v>0.33333333333333331</v>
      </c>
      <c r="T218" s="3">
        <f t="shared" si="27"/>
        <v>0</v>
      </c>
      <c r="U218" s="3" t="s">
        <v>79</v>
      </c>
      <c r="V218" s="3">
        <v>2</v>
      </c>
      <c r="W218" s="6">
        <v>5.6</v>
      </c>
      <c r="X218" s="4">
        <v>4</v>
      </c>
      <c r="Y218" s="5">
        <v>0.35</v>
      </c>
      <c r="Z218" s="5">
        <v>1</v>
      </c>
      <c r="AA218" s="3" t="s">
        <v>80</v>
      </c>
      <c r="AB218" s="3">
        <v>0</v>
      </c>
      <c r="AC218" s="3" t="s">
        <v>89</v>
      </c>
      <c r="AD218" s="3">
        <v>1</v>
      </c>
      <c r="AE218" s="3" t="s">
        <v>90</v>
      </c>
      <c r="AF218" s="3">
        <v>1</v>
      </c>
      <c r="AG218" s="3" t="s">
        <v>108</v>
      </c>
      <c r="AH218" s="3">
        <v>1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7" t="s">
        <v>119</v>
      </c>
      <c r="BX218" s="7" t="s">
        <v>119</v>
      </c>
    </row>
    <row r="219" spans="1:76">
      <c r="A219" s="3" t="s">
        <v>663</v>
      </c>
      <c r="B219" s="3">
        <v>2773</v>
      </c>
      <c r="C219" s="3" t="s">
        <v>660</v>
      </c>
      <c r="D219" s="3">
        <v>4</v>
      </c>
      <c r="E219" s="4">
        <v>79</v>
      </c>
      <c r="F219" s="3" t="s">
        <v>78</v>
      </c>
      <c r="G219" s="3">
        <v>0</v>
      </c>
      <c r="H219" s="3">
        <v>0</v>
      </c>
      <c r="I219" s="4">
        <v>6</v>
      </c>
      <c r="J219" s="4">
        <v>3</v>
      </c>
      <c r="K219" s="4">
        <v>9</v>
      </c>
      <c r="L219" s="5">
        <f>IF(F219="F",65.79,IF(F219="M",79.94,""))</f>
        <v>79.94</v>
      </c>
      <c r="M219" s="3">
        <f t="shared" si="21"/>
        <v>0</v>
      </c>
      <c r="N219" s="3" t="str">
        <f t="shared" si="22"/>
        <v>VSC-non-halitosis</v>
      </c>
      <c r="O219" s="3" t="str">
        <f t="shared" si="23"/>
        <v>Clinical- / VSC-</v>
      </c>
      <c r="P219" s="5">
        <f t="shared" si="24"/>
        <v>2.1972245773362196</v>
      </c>
      <c r="Q219" s="5">
        <f t="shared" si="25"/>
        <v>1.9459101490553132</v>
      </c>
      <c r="R219" s="5">
        <f t="shared" si="25"/>
        <v>1.3862943611198906</v>
      </c>
      <c r="S219" s="5">
        <f t="shared" si="26"/>
        <v>0.33333333333333331</v>
      </c>
      <c r="T219" s="3">
        <f t="shared" si="27"/>
        <v>0</v>
      </c>
      <c r="U219" s="3" t="s">
        <v>79</v>
      </c>
      <c r="V219" s="3">
        <v>2</v>
      </c>
      <c r="W219" s="6">
        <v>6.2</v>
      </c>
      <c r="X219" s="4">
        <v>10</v>
      </c>
      <c r="Y219" s="5">
        <v>0.6</v>
      </c>
      <c r="Z219" s="5">
        <v>2</v>
      </c>
      <c r="AA219" s="3" t="s">
        <v>80</v>
      </c>
      <c r="AB219" s="3">
        <v>0</v>
      </c>
      <c r="AC219" s="3" t="s">
        <v>89</v>
      </c>
      <c r="AD219" s="3">
        <v>1</v>
      </c>
      <c r="AE219" s="3" t="s">
        <v>90</v>
      </c>
      <c r="AF219" s="3">
        <v>1</v>
      </c>
      <c r="AG219" s="3" t="s">
        <v>108</v>
      </c>
      <c r="AH219" s="3">
        <v>1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7" t="s">
        <v>119</v>
      </c>
      <c r="BX219" s="7" t="s">
        <v>119</v>
      </c>
    </row>
    <row r="220" spans="1:76">
      <c r="A220" s="3" t="s">
        <v>664</v>
      </c>
      <c r="B220" s="3">
        <v>5908</v>
      </c>
      <c r="C220" s="3" t="s">
        <v>665</v>
      </c>
      <c r="D220" s="3">
        <v>2</v>
      </c>
      <c r="E220" s="4">
        <v>82</v>
      </c>
      <c r="F220" s="3" t="s">
        <v>87</v>
      </c>
      <c r="G220" s="3">
        <v>0</v>
      </c>
      <c r="H220" s="3">
        <v>0</v>
      </c>
      <c r="I220" s="4">
        <v>0</v>
      </c>
      <c r="J220" s="4">
        <v>1</v>
      </c>
      <c r="K220" s="4">
        <v>1</v>
      </c>
      <c r="L220" s="5">
        <f>IF(F220="F",65.79,IF(F220="M",79.94,""))</f>
        <v>65.790000000000006</v>
      </c>
      <c r="M220" s="3">
        <f t="shared" si="21"/>
        <v>0</v>
      </c>
      <c r="N220" s="3" t="str">
        <f t="shared" si="22"/>
        <v>VSC-non-halitosis</v>
      </c>
      <c r="O220" s="3" t="str">
        <f t="shared" si="23"/>
        <v>Clinical- / VSC-</v>
      </c>
      <c r="P220" s="5">
        <f t="shared" si="24"/>
        <v>0</v>
      </c>
      <c r="Q220" s="5">
        <f t="shared" si="25"/>
        <v>0</v>
      </c>
      <c r="R220" s="5">
        <f t="shared" si="25"/>
        <v>0.69314718055994529</v>
      </c>
      <c r="S220" s="5">
        <f t="shared" si="26"/>
        <v>1</v>
      </c>
      <c r="T220" s="3">
        <f t="shared" si="27"/>
        <v>1</v>
      </c>
      <c r="U220" s="3" t="s">
        <v>102</v>
      </c>
      <c r="V220" s="3">
        <v>1</v>
      </c>
      <c r="W220" s="6">
        <v>7</v>
      </c>
      <c r="X220" s="4">
        <v>12</v>
      </c>
      <c r="Y220" s="5">
        <v>0.5</v>
      </c>
      <c r="Z220" s="5">
        <v>2</v>
      </c>
      <c r="AA220" s="3" t="s">
        <v>97</v>
      </c>
      <c r="AB220" s="3">
        <v>0</v>
      </c>
      <c r="AC220" s="3" t="s">
        <v>81</v>
      </c>
      <c r="AD220" s="3">
        <v>0</v>
      </c>
      <c r="AE220" s="3" t="s">
        <v>82</v>
      </c>
      <c r="AF220" s="3">
        <v>1</v>
      </c>
      <c r="AG220" s="3" t="s">
        <v>82</v>
      </c>
      <c r="AH220" s="3">
        <v>1</v>
      </c>
      <c r="AI220" s="3">
        <v>1</v>
      </c>
      <c r="AJ220" s="3">
        <v>0</v>
      </c>
      <c r="AK220" s="3">
        <v>0</v>
      </c>
      <c r="AL220" s="3">
        <v>1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7" t="s">
        <v>186</v>
      </c>
      <c r="BX220" s="7"/>
    </row>
    <row r="221" spans="1:76">
      <c r="A221" s="3" t="s">
        <v>666</v>
      </c>
      <c r="B221" s="3">
        <v>5908</v>
      </c>
      <c r="C221" s="3" t="s">
        <v>665</v>
      </c>
      <c r="D221" s="3">
        <v>2</v>
      </c>
      <c r="E221" s="4">
        <v>82</v>
      </c>
      <c r="F221" s="3" t="s">
        <v>87</v>
      </c>
      <c r="G221" s="3">
        <v>0</v>
      </c>
      <c r="H221" s="3">
        <v>0</v>
      </c>
      <c r="I221" s="4">
        <v>0</v>
      </c>
      <c r="J221" s="4">
        <v>1</v>
      </c>
      <c r="K221" s="4">
        <v>1</v>
      </c>
      <c r="L221" s="5">
        <f>IF(F221="F",65.79,IF(F221="M",79.94,""))</f>
        <v>65.790000000000006</v>
      </c>
      <c r="M221" s="3">
        <f t="shared" si="21"/>
        <v>0</v>
      </c>
      <c r="N221" s="3" t="str">
        <f t="shared" si="22"/>
        <v>VSC-non-halitosis</v>
      </c>
      <c r="O221" s="3" t="str">
        <f t="shared" si="23"/>
        <v>Clinical- / VSC-</v>
      </c>
      <c r="P221" s="5">
        <f t="shared" si="24"/>
        <v>0</v>
      </c>
      <c r="Q221" s="5">
        <f t="shared" si="25"/>
        <v>0</v>
      </c>
      <c r="R221" s="5">
        <f t="shared" si="25"/>
        <v>0.69314718055994529</v>
      </c>
      <c r="S221" s="5">
        <f t="shared" si="26"/>
        <v>1</v>
      </c>
      <c r="T221" s="3">
        <f t="shared" si="27"/>
        <v>1</v>
      </c>
      <c r="U221" s="3" t="s">
        <v>102</v>
      </c>
      <c r="V221" s="3">
        <v>1</v>
      </c>
      <c r="W221" s="6">
        <v>6.4</v>
      </c>
      <c r="X221" s="4">
        <v>9</v>
      </c>
      <c r="Y221" s="5">
        <v>1</v>
      </c>
      <c r="Z221" s="5">
        <v>2.5</v>
      </c>
      <c r="AA221" s="3" t="s">
        <v>97</v>
      </c>
      <c r="AB221" s="3">
        <v>0</v>
      </c>
      <c r="AC221" s="3" t="s">
        <v>81</v>
      </c>
      <c r="AD221" s="3">
        <v>0</v>
      </c>
      <c r="AE221" s="3" t="s">
        <v>82</v>
      </c>
      <c r="AF221" s="3">
        <v>1</v>
      </c>
      <c r="AG221" s="3" t="s">
        <v>82</v>
      </c>
      <c r="AH221" s="3">
        <v>1</v>
      </c>
      <c r="AI221" s="3">
        <v>1</v>
      </c>
      <c r="AJ221" s="3">
        <v>0</v>
      </c>
      <c r="AK221" s="3">
        <v>0</v>
      </c>
      <c r="AL221" s="3">
        <v>1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7" t="s">
        <v>186</v>
      </c>
      <c r="BX221" s="7"/>
    </row>
    <row r="222" spans="1:76">
      <c r="A222" s="3" t="s">
        <v>667</v>
      </c>
      <c r="B222" s="3">
        <v>2848</v>
      </c>
      <c r="C222" s="3" t="s">
        <v>668</v>
      </c>
      <c r="D222" s="3">
        <v>1</v>
      </c>
      <c r="E222" s="4">
        <v>77</v>
      </c>
      <c r="F222" s="3" t="s">
        <v>87</v>
      </c>
      <c r="G222" s="3">
        <v>0</v>
      </c>
      <c r="H222" s="3">
        <v>0</v>
      </c>
      <c r="I222" s="4">
        <v>8</v>
      </c>
      <c r="J222" s="4">
        <v>3</v>
      </c>
      <c r="K222" s="4">
        <v>11</v>
      </c>
      <c r="L222" s="5">
        <f>IF(F222="F",65.79,IF(F222="M",79.94,""))</f>
        <v>65.790000000000006</v>
      </c>
      <c r="M222" s="3">
        <f t="shared" si="21"/>
        <v>0</v>
      </c>
      <c r="N222" s="3" t="str">
        <f t="shared" si="22"/>
        <v>VSC-non-halitosis</v>
      </c>
      <c r="O222" s="3" t="str">
        <f t="shared" si="23"/>
        <v>Clinical- / VSC-</v>
      </c>
      <c r="P222" s="5">
        <f t="shared" si="24"/>
        <v>2.3978952727983707</v>
      </c>
      <c r="Q222" s="5">
        <f t="shared" si="25"/>
        <v>2.1972245773362196</v>
      </c>
      <c r="R222" s="5">
        <f t="shared" si="25"/>
        <v>1.3862943611198906</v>
      </c>
      <c r="S222" s="5">
        <f t="shared" si="26"/>
        <v>0.27272727272727271</v>
      </c>
      <c r="T222" s="3">
        <f t="shared" si="27"/>
        <v>0</v>
      </c>
      <c r="U222" s="3" t="s">
        <v>79</v>
      </c>
      <c r="V222" s="3">
        <v>2</v>
      </c>
      <c r="W222" s="6"/>
      <c r="X222" s="4">
        <v>10</v>
      </c>
      <c r="Y222" s="5">
        <v>0.4</v>
      </c>
      <c r="Z222" s="5">
        <v>1.7</v>
      </c>
      <c r="AA222" s="3" t="s">
        <v>80</v>
      </c>
      <c r="AB222" s="3">
        <v>0</v>
      </c>
      <c r="AC222" s="3" t="s">
        <v>138</v>
      </c>
      <c r="AD222" s="3">
        <v>1</v>
      </c>
      <c r="AE222" s="3" t="s">
        <v>82</v>
      </c>
      <c r="AF222" s="3">
        <v>1</v>
      </c>
      <c r="AG222" s="3" t="s">
        <v>108</v>
      </c>
      <c r="AH222" s="3">
        <v>1</v>
      </c>
      <c r="AI222" s="3">
        <v>1</v>
      </c>
      <c r="AJ222" s="3">
        <v>1</v>
      </c>
      <c r="AK222" s="3">
        <v>1</v>
      </c>
      <c r="AL222" s="3">
        <v>1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1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7" t="s">
        <v>186</v>
      </c>
      <c r="BX222" s="7" t="s">
        <v>669</v>
      </c>
    </row>
    <row r="223" spans="1:76">
      <c r="A223" s="3" t="s">
        <v>670</v>
      </c>
      <c r="B223" s="3">
        <v>3846</v>
      </c>
      <c r="C223" s="3" t="s">
        <v>671</v>
      </c>
      <c r="D223" s="3">
        <v>1</v>
      </c>
      <c r="E223" s="4">
        <v>75</v>
      </c>
      <c r="F223" s="3" t="s">
        <v>87</v>
      </c>
      <c r="G223" s="3">
        <v>0</v>
      </c>
      <c r="H223" s="3">
        <v>0</v>
      </c>
      <c r="I223" s="4">
        <v>8</v>
      </c>
      <c r="J223" s="4">
        <v>0</v>
      </c>
      <c r="K223" s="4">
        <v>8</v>
      </c>
      <c r="L223" s="5">
        <f>IF(F223="F",65.79,IF(F223="M",79.94,""))</f>
        <v>65.790000000000006</v>
      </c>
      <c r="M223" s="3">
        <f t="shared" si="21"/>
        <v>0</v>
      </c>
      <c r="N223" s="3" t="str">
        <f t="shared" si="22"/>
        <v>VSC-non-halitosis</v>
      </c>
      <c r="O223" s="3" t="str">
        <f t="shared" si="23"/>
        <v>Clinical- / VSC-</v>
      </c>
      <c r="P223" s="5">
        <f t="shared" si="24"/>
        <v>2.0794415416798357</v>
      </c>
      <c r="Q223" s="5">
        <f t="shared" si="25"/>
        <v>2.1972245773362196</v>
      </c>
      <c r="R223" s="5">
        <f t="shared" si="25"/>
        <v>0</v>
      </c>
      <c r="S223" s="5">
        <f t="shared" si="26"/>
        <v>0</v>
      </c>
      <c r="T223" s="3">
        <f t="shared" si="27"/>
        <v>0</v>
      </c>
      <c r="U223" s="3" t="s">
        <v>79</v>
      </c>
      <c r="V223" s="3">
        <v>2</v>
      </c>
      <c r="W223" s="6">
        <v>6.2</v>
      </c>
      <c r="X223" s="4">
        <v>10</v>
      </c>
      <c r="Y223" s="5">
        <v>0.1</v>
      </c>
      <c r="Z223" s="5">
        <v>1</v>
      </c>
      <c r="AA223" s="3" t="s">
        <v>80</v>
      </c>
      <c r="AB223" s="3">
        <v>0</v>
      </c>
      <c r="AC223" s="3" t="s">
        <v>81</v>
      </c>
      <c r="AD223" s="3">
        <v>0</v>
      </c>
      <c r="AE223" s="3" t="s">
        <v>82</v>
      </c>
      <c r="AF223" s="3">
        <v>1</v>
      </c>
      <c r="AG223" s="3" t="s">
        <v>98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7" t="s">
        <v>119</v>
      </c>
      <c r="BX223" s="7" t="s">
        <v>672</v>
      </c>
    </row>
    <row r="224" spans="1:76">
      <c r="A224" s="3" t="s">
        <v>673</v>
      </c>
      <c r="B224" s="3">
        <v>5705</v>
      </c>
      <c r="C224" s="3" t="s">
        <v>674</v>
      </c>
      <c r="D224" s="3">
        <v>1</v>
      </c>
      <c r="E224" s="4">
        <v>76</v>
      </c>
      <c r="F224" s="3" t="s">
        <v>87</v>
      </c>
      <c r="G224" s="3">
        <v>0</v>
      </c>
      <c r="H224" s="3">
        <v>0</v>
      </c>
      <c r="I224" s="4">
        <v>2</v>
      </c>
      <c r="J224" s="4">
        <v>1</v>
      </c>
      <c r="K224" s="4">
        <v>3</v>
      </c>
      <c r="L224" s="5">
        <f>IF(F224="F",65.79,IF(F224="M",79.94,""))</f>
        <v>65.790000000000006</v>
      </c>
      <c r="M224" s="3">
        <f t="shared" si="21"/>
        <v>0</v>
      </c>
      <c r="N224" s="3" t="str">
        <f t="shared" si="22"/>
        <v>VSC-non-halitosis</v>
      </c>
      <c r="O224" s="3" t="str">
        <f t="shared" si="23"/>
        <v>Clinical- / VSC-</v>
      </c>
      <c r="P224" s="5">
        <f t="shared" si="24"/>
        <v>1.0986122886681098</v>
      </c>
      <c r="Q224" s="5">
        <f t="shared" si="25"/>
        <v>1.0986122886681098</v>
      </c>
      <c r="R224" s="5">
        <f t="shared" si="25"/>
        <v>0.69314718055994529</v>
      </c>
      <c r="S224" s="5">
        <f t="shared" si="26"/>
        <v>0.33333333333333331</v>
      </c>
      <c r="T224" s="3">
        <f t="shared" si="27"/>
        <v>0</v>
      </c>
      <c r="U224" s="3" t="s">
        <v>102</v>
      </c>
      <c r="V224" s="3">
        <v>1</v>
      </c>
      <c r="W224" s="6">
        <v>5.8</v>
      </c>
      <c r="X224" s="4">
        <v>10</v>
      </c>
      <c r="Y224" s="5">
        <v>0.3</v>
      </c>
      <c r="Z224" s="5">
        <v>2</v>
      </c>
      <c r="AA224" s="3" t="s">
        <v>80</v>
      </c>
      <c r="AB224" s="3">
        <v>0</v>
      </c>
      <c r="AC224" s="3" t="s">
        <v>113</v>
      </c>
      <c r="AD224" s="3">
        <v>0</v>
      </c>
      <c r="AE224" s="3" t="s">
        <v>82</v>
      </c>
      <c r="AF224" s="3">
        <v>1</v>
      </c>
      <c r="AG224" s="3" t="s">
        <v>98</v>
      </c>
      <c r="AH224" s="3">
        <v>0</v>
      </c>
      <c r="AI224" s="3">
        <v>1</v>
      </c>
      <c r="AJ224" s="3">
        <v>1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1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1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7" t="s">
        <v>675</v>
      </c>
      <c r="BX224" s="7"/>
    </row>
    <row r="225" spans="1:76">
      <c r="A225" s="3" t="s">
        <v>676</v>
      </c>
      <c r="B225" s="3">
        <v>4993</v>
      </c>
      <c r="C225" s="3" t="s">
        <v>677</v>
      </c>
      <c r="D225" s="3">
        <v>1</v>
      </c>
      <c r="E225" s="4">
        <v>74</v>
      </c>
      <c r="F225" s="3" t="s">
        <v>87</v>
      </c>
      <c r="G225" s="3">
        <v>0</v>
      </c>
      <c r="H225" s="3">
        <v>0</v>
      </c>
      <c r="I225" s="4">
        <v>2</v>
      </c>
      <c r="J225" s="4">
        <v>0</v>
      </c>
      <c r="K225" s="4">
        <v>2</v>
      </c>
      <c r="L225" s="5">
        <f>IF(F225="F",65.79,IF(F225="M",79.94,""))</f>
        <v>65.790000000000006</v>
      </c>
      <c r="M225" s="3">
        <f t="shared" si="21"/>
        <v>0</v>
      </c>
      <c r="N225" s="3" t="str">
        <f t="shared" si="22"/>
        <v>VSC-non-halitosis</v>
      </c>
      <c r="O225" s="3" t="str">
        <f t="shared" si="23"/>
        <v>Clinical- / VSC-</v>
      </c>
      <c r="P225" s="5">
        <f t="shared" si="24"/>
        <v>0.69314718055994529</v>
      </c>
      <c r="Q225" s="5">
        <f t="shared" si="25"/>
        <v>1.0986122886681098</v>
      </c>
      <c r="R225" s="5">
        <f t="shared" si="25"/>
        <v>0</v>
      </c>
      <c r="S225" s="5">
        <f t="shared" si="26"/>
        <v>0</v>
      </c>
      <c r="T225" s="3">
        <f t="shared" si="27"/>
        <v>0</v>
      </c>
      <c r="U225" s="3" t="s">
        <v>102</v>
      </c>
      <c r="V225" s="3">
        <v>1</v>
      </c>
      <c r="W225" s="6">
        <v>5.2</v>
      </c>
      <c r="X225" s="4">
        <v>11</v>
      </c>
      <c r="Y225" s="5">
        <v>0.4</v>
      </c>
      <c r="Z225" s="5">
        <v>1.4</v>
      </c>
      <c r="AA225" s="3" t="s">
        <v>88</v>
      </c>
      <c r="AB225" s="3">
        <v>0</v>
      </c>
      <c r="AC225" s="3" t="s">
        <v>113</v>
      </c>
      <c r="AD225" s="3">
        <v>0</v>
      </c>
      <c r="AE225" s="3" t="s">
        <v>82</v>
      </c>
      <c r="AF225" s="3">
        <v>1</v>
      </c>
      <c r="AG225" s="3" t="s">
        <v>82</v>
      </c>
      <c r="AH225" s="3">
        <v>1</v>
      </c>
      <c r="AI225" s="3">
        <v>3</v>
      </c>
      <c r="AJ225" s="3">
        <v>1</v>
      </c>
      <c r="AK225" s="3">
        <v>0</v>
      </c>
      <c r="AL225" s="3">
        <v>1</v>
      </c>
      <c r="AM225" s="3">
        <v>1</v>
      </c>
      <c r="AN225" s="3">
        <v>1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1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7" t="s">
        <v>678</v>
      </c>
      <c r="BX225" s="7"/>
    </row>
    <row r="226" spans="1:76">
      <c r="A226" s="3" t="s">
        <v>679</v>
      </c>
      <c r="B226" s="3">
        <v>3753</v>
      </c>
      <c r="C226" s="3" t="s">
        <v>680</v>
      </c>
      <c r="D226" s="3">
        <v>1</v>
      </c>
      <c r="E226" s="4">
        <v>71</v>
      </c>
      <c r="F226" s="3" t="s">
        <v>78</v>
      </c>
      <c r="G226" s="3">
        <v>0</v>
      </c>
      <c r="H226" s="3">
        <v>0</v>
      </c>
      <c r="I226" s="4">
        <v>26</v>
      </c>
      <c r="J226" s="4">
        <v>47</v>
      </c>
      <c r="K226" s="4">
        <v>73</v>
      </c>
      <c r="L226" s="5">
        <f>IF(F226="F",65.79,IF(F226="M",79.94,""))</f>
        <v>79.94</v>
      </c>
      <c r="M226" s="3">
        <f t="shared" si="21"/>
        <v>0</v>
      </c>
      <c r="N226" s="3" t="str">
        <f t="shared" si="22"/>
        <v>VSC-non-halitosis</v>
      </c>
      <c r="O226" s="3" t="str">
        <f t="shared" si="23"/>
        <v>Clinical- / VSC-</v>
      </c>
      <c r="P226" s="5">
        <f t="shared" si="24"/>
        <v>4.290459441148391</v>
      </c>
      <c r="Q226" s="5">
        <f t="shared" si="25"/>
        <v>3.2958368660043291</v>
      </c>
      <c r="R226" s="5">
        <f t="shared" si="25"/>
        <v>3.8712010109078911</v>
      </c>
      <c r="S226" s="5">
        <f t="shared" si="26"/>
        <v>0.64383561643835618</v>
      </c>
      <c r="T226" s="3">
        <f t="shared" si="27"/>
        <v>1</v>
      </c>
      <c r="U226" s="3" t="s">
        <v>96</v>
      </c>
      <c r="V226" s="3">
        <v>3</v>
      </c>
      <c r="W226" s="6">
        <v>6.2</v>
      </c>
      <c r="X226" s="4">
        <v>11</v>
      </c>
      <c r="Y226" s="5">
        <v>0.5</v>
      </c>
      <c r="Z226" s="5">
        <v>2.4</v>
      </c>
      <c r="AA226" s="3" t="s">
        <v>80</v>
      </c>
      <c r="AB226" s="3">
        <v>0</v>
      </c>
      <c r="AC226" s="3" t="s">
        <v>81</v>
      </c>
      <c r="AD226" s="3">
        <v>0</v>
      </c>
      <c r="AE226" s="3" t="s">
        <v>82</v>
      </c>
      <c r="AF226" s="3">
        <v>1</v>
      </c>
      <c r="AG226" s="3" t="s">
        <v>82</v>
      </c>
      <c r="AH226" s="3">
        <v>1</v>
      </c>
      <c r="AI226" s="3">
        <v>4</v>
      </c>
      <c r="AJ226" s="3">
        <v>2</v>
      </c>
      <c r="AK226" s="3">
        <v>1</v>
      </c>
      <c r="AL226" s="3">
        <v>1</v>
      </c>
      <c r="AM226" s="3">
        <v>1</v>
      </c>
      <c r="AN226" s="3">
        <v>0</v>
      </c>
      <c r="AO226" s="3">
        <v>0</v>
      </c>
      <c r="AP226" s="3">
        <v>1</v>
      </c>
      <c r="AQ226" s="3">
        <v>0</v>
      </c>
      <c r="AR226" s="3">
        <v>0</v>
      </c>
      <c r="AS226" s="3">
        <v>0</v>
      </c>
      <c r="AT226" s="3">
        <v>0</v>
      </c>
      <c r="AU226" s="3">
        <v>1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1</v>
      </c>
      <c r="BH226" s="3">
        <v>0</v>
      </c>
      <c r="BI226" s="3">
        <v>0</v>
      </c>
      <c r="BJ226" s="3">
        <v>0</v>
      </c>
      <c r="BK226" s="3">
        <v>1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7" t="s">
        <v>681</v>
      </c>
      <c r="BX226" s="7" t="s">
        <v>682</v>
      </c>
    </row>
    <row r="227" spans="1:76" ht="34">
      <c r="A227" s="3" t="s">
        <v>683</v>
      </c>
      <c r="B227" s="3">
        <v>5907</v>
      </c>
      <c r="C227" s="3" t="s">
        <v>684</v>
      </c>
      <c r="D227" s="3">
        <v>1</v>
      </c>
      <c r="E227" s="4">
        <v>72</v>
      </c>
      <c r="F227" s="3" t="s">
        <v>87</v>
      </c>
      <c r="G227" s="3">
        <v>0</v>
      </c>
      <c r="H227" s="3">
        <v>1</v>
      </c>
      <c r="I227" s="4">
        <v>2</v>
      </c>
      <c r="J227" s="4">
        <v>1</v>
      </c>
      <c r="K227" s="4">
        <v>3</v>
      </c>
      <c r="L227" s="5">
        <f>IF(F227="F",65.79,IF(F227="M",79.94,""))</f>
        <v>65.790000000000006</v>
      </c>
      <c r="M227" s="3">
        <f t="shared" si="21"/>
        <v>0</v>
      </c>
      <c r="N227" s="3" t="str">
        <f t="shared" si="22"/>
        <v>VSC-non-halitosis</v>
      </c>
      <c r="O227" s="3" t="str">
        <f t="shared" si="23"/>
        <v>Clinical- / VSC-</v>
      </c>
      <c r="P227" s="5">
        <f t="shared" si="24"/>
        <v>1.0986122886681098</v>
      </c>
      <c r="Q227" s="5">
        <f t="shared" si="25"/>
        <v>1.0986122886681098</v>
      </c>
      <c r="R227" s="5">
        <f t="shared" si="25"/>
        <v>0.69314718055994529</v>
      </c>
      <c r="S227" s="5">
        <f t="shared" si="26"/>
        <v>0.33333333333333331</v>
      </c>
      <c r="T227" s="3">
        <f t="shared" si="27"/>
        <v>0</v>
      </c>
      <c r="U227" s="3" t="s">
        <v>102</v>
      </c>
      <c r="V227" s="3">
        <v>1</v>
      </c>
      <c r="W227" s="6">
        <v>6.4</v>
      </c>
      <c r="X227" s="4">
        <v>12</v>
      </c>
      <c r="Y227" s="5">
        <v>0.2</v>
      </c>
      <c r="Z227" s="5">
        <v>1</v>
      </c>
      <c r="AA227" s="3" t="s">
        <v>97</v>
      </c>
      <c r="AB227" s="3">
        <v>0</v>
      </c>
      <c r="AC227" s="3" t="s">
        <v>81</v>
      </c>
      <c r="AD227" s="3">
        <v>0</v>
      </c>
      <c r="AE227" s="3" t="s">
        <v>98</v>
      </c>
      <c r="AF227" s="3">
        <v>0</v>
      </c>
      <c r="AG227" s="3" t="s">
        <v>98</v>
      </c>
      <c r="AH227" s="3">
        <v>0</v>
      </c>
      <c r="AI227" s="3">
        <v>3</v>
      </c>
      <c r="AJ227" s="3">
        <v>2</v>
      </c>
      <c r="AK227" s="3">
        <v>1</v>
      </c>
      <c r="AL227" s="3">
        <v>0</v>
      </c>
      <c r="AM227" s="3">
        <v>1</v>
      </c>
      <c r="AN227" s="3">
        <v>1</v>
      </c>
      <c r="AO227" s="3">
        <v>0</v>
      </c>
      <c r="AP227" s="3">
        <v>0</v>
      </c>
      <c r="AQ227" s="3">
        <v>0</v>
      </c>
      <c r="AR227" s="3">
        <v>1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1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1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7" t="s">
        <v>219</v>
      </c>
      <c r="BX227" s="7" t="s">
        <v>685</v>
      </c>
    </row>
    <row r="228" spans="1:76">
      <c r="A228" s="3" t="s">
        <v>686</v>
      </c>
      <c r="B228" s="3">
        <v>3987</v>
      </c>
      <c r="C228" s="3" t="s">
        <v>687</v>
      </c>
      <c r="D228" s="3">
        <v>4</v>
      </c>
      <c r="E228" s="4">
        <v>70</v>
      </c>
      <c r="F228" s="3" t="s">
        <v>87</v>
      </c>
      <c r="G228" s="3">
        <v>0</v>
      </c>
      <c r="H228" s="3">
        <v>0</v>
      </c>
      <c r="I228" s="4">
        <v>36</v>
      </c>
      <c r="J228" s="4">
        <v>13</v>
      </c>
      <c r="K228" s="4">
        <v>49</v>
      </c>
      <c r="L228" s="5">
        <f>IF(F228="F",65.79,IF(F228="M",79.94,""))</f>
        <v>65.790000000000006</v>
      </c>
      <c r="M228" s="3">
        <f t="shared" si="21"/>
        <v>0</v>
      </c>
      <c r="N228" s="3" t="str">
        <f t="shared" si="22"/>
        <v>VSC-non-halitosis</v>
      </c>
      <c r="O228" s="3" t="str">
        <f t="shared" si="23"/>
        <v>Clinical- / VSC-</v>
      </c>
      <c r="P228" s="5">
        <f t="shared" si="24"/>
        <v>3.8918202981106265</v>
      </c>
      <c r="Q228" s="5">
        <f t="shared" si="25"/>
        <v>3.6109179126442243</v>
      </c>
      <c r="R228" s="5">
        <f t="shared" si="25"/>
        <v>2.6390573296152584</v>
      </c>
      <c r="S228" s="5">
        <f t="shared" si="26"/>
        <v>0.26530612244897961</v>
      </c>
      <c r="T228" s="3">
        <f t="shared" si="27"/>
        <v>0</v>
      </c>
      <c r="U228" s="3" t="s">
        <v>96</v>
      </c>
      <c r="V228" s="3">
        <v>3</v>
      </c>
      <c r="W228" s="6">
        <v>6.8</v>
      </c>
      <c r="X228" s="4">
        <v>10</v>
      </c>
      <c r="Y228" s="5">
        <v>0.5</v>
      </c>
      <c r="Z228" s="5">
        <v>2</v>
      </c>
      <c r="AA228" s="3" t="s">
        <v>80</v>
      </c>
      <c r="AB228" s="3">
        <v>0</v>
      </c>
      <c r="AC228" s="3" t="s">
        <v>81</v>
      </c>
      <c r="AD228" s="3">
        <v>0</v>
      </c>
      <c r="AE228" s="3" t="s">
        <v>82</v>
      </c>
      <c r="AF228" s="3">
        <v>1</v>
      </c>
      <c r="AG228" s="3" t="s">
        <v>427</v>
      </c>
      <c r="AH228" s="3">
        <v>0</v>
      </c>
      <c r="AI228" s="3">
        <v>1</v>
      </c>
      <c r="AJ228" s="3">
        <v>1</v>
      </c>
      <c r="AK228" s="3">
        <v>0</v>
      </c>
      <c r="AL228" s="3">
        <v>1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1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7" t="s">
        <v>186</v>
      </c>
      <c r="BX228" s="7" t="s">
        <v>688</v>
      </c>
    </row>
    <row r="229" spans="1:76" ht="68">
      <c r="A229" s="3" t="s">
        <v>689</v>
      </c>
      <c r="B229" s="3">
        <v>6488</v>
      </c>
      <c r="C229" s="3" t="s">
        <v>687</v>
      </c>
      <c r="D229" s="3">
        <v>4</v>
      </c>
      <c r="E229" s="4">
        <v>70</v>
      </c>
      <c r="F229" s="3" t="s">
        <v>87</v>
      </c>
      <c r="G229" s="3">
        <v>0</v>
      </c>
      <c r="H229" s="3">
        <v>0</v>
      </c>
      <c r="I229" s="4">
        <v>36</v>
      </c>
      <c r="J229" s="4">
        <v>13</v>
      </c>
      <c r="K229" s="4">
        <v>49</v>
      </c>
      <c r="L229" s="5">
        <f>IF(F229="F",65.79,IF(F229="M",79.94,""))</f>
        <v>65.790000000000006</v>
      </c>
      <c r="M229" s="3">
        <f t="shared" si="21"/>
        <v>0</v>
      </c>
      <c r="N229" s="3" t="str">
        <f t="shared" si="22"/>
        <v>VSC-non-halitosis</v>
      </c>
      <c r="O229" s="3" t="str">
        <f t="shared" si="23"/>
        <v>Clinical- / VSC-</v>
      </c>
      <c r="P229" s="5">
        <f t="shared" si="24"/>
        <v>3.8918202981106265</v>
      </c>
      <c r="Q229" s="5">
        <f t="shared" si="25"/>
        <v>3.6109179126442243</v>
      </c>
      <c r="R229" s="5">
        <f t="shared" si="25"/>
        <v>2.6390573296152584</v>
      </c>
      <c r="S229" s="5">
        <f t="shared" si="26"/>
        <v>0.26530612244897961</v>
      </c>
      <c r="T229" s="3">
        <f t="shared" si="27"/>
        <v>0</v>
      </c>
      <c r="U229" s="3" t="s">
        <v>96</v>
      </c>
      <c r="V229" s="3">
        <v>3</v>
      </c>
      <c r="W229" s="6">
        <v>6.8</v>
      </c>
      <c r="X229" s="4">
        <v>10</v>
      </c>
      <c r="Y229" s="5">
        <v>0.5</v>
      </c>
      <c r="Z229" s="5">
        <v>2</v>
      </c>
      <c r="AA229" s="3" t="s">
        <v>80</v>
      </c>
      <c r="AB229" s="3">
        <v>0</v>
      </c>
      <c r="AC229" s="3" t="s">
        <v>81</v>
      </c>
      <c r="AD229" s="3">
        <v>0</v>
      </c>
      <c r="AE229" s="3" t="s">
        <v>82</v>
      </c>
      <c r="AF229" s="3">
        <v>1</v>
      </c>
      <c r="AG229" s="3" t="s">
        <v>82</v>
      </c>
      <c r="AH229" s="3">
        <v>1</v>
      </c>
      <c r="AI229" s="3">
        <v>4</v>
      </c>
      <c r="AJ229" s="3">
        <v>3</v>
      </c>
      <c r="AK229" s="3">
        <v>1</v>
      </c>
      <c r="AL229" s="3">
        <v>1</v>
      </c>
      <c r="AM229" s="3">
        <v>0</v>
      </c>
      <c r="AN229" s="3">
        <v>1</v>
      </c>
      <c r="AO229" s="3">
        <v>0</v>
      </c>
      <c r="AP229" s="3">
        <v>0</v>
      </c>
      <c r="AQ229" s="3">
        <v>1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1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1</v>
      </c>
      <c r="BG229" s="3">
        <v>1</v>
      </c>
      <c r="BH229" s="3">
        <v>1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7" t="s">
        <v>690</v>
      </c>
      <c r="BX229" s="7" t="s">
        <v>80</v>
      </c>
    </row>
    <row r="230" spans="1:76">
      <c r="A230" s="3" t="s">
        <v>691</v>
      </c>
      <c r="B230" s="3">
        <v>3987</v>
      </c>
      <c r="C230" s="3" t="s">
        <v>687</v>
      </c>
      <c r="D230" s="3">
        <v>4</v>
      </c>
      <c r="E230" s="4">
        <v>70</v>
      </c>
      <c r="F230" s="3" t="s">
        <v>87</v>
      </c>
      <c r="G230" s="3">
        <v>0</v>
      </c>
      <c r="H230" s="3">
        <v>0</v>
      </c>
      <c r="I230" s="4">
        <v>36</v>
      </c>
      <c r="J230" s="4">
        <v>13</v>
      </c>
      <c r="K230" s="4">
        <v>49</v>
      </c>
      <c r="L230" s="5">
        <f>IF(F230="F",65.79,IF(F230="M",79.94,""))</f>
        <v>65.790000000000006</v>
      </c>
      <c r="M230" s="3">
        <f t="shared" si="21"/>
        <v>0</v>
      </c>
      <c r="N230" s="3" t="str">
        <f t="shared" si="22"/>
        <v>VSC-non-halitosis</v>
      </c>
      <c r="O230" s="3" t="str">
        <f t="shared" si="23"/>
        <v>Clinical- / VSC-</v>
      </c>
      <c r="P230" s="5">
        <f t="shared" si="24"/>
        <v>3.8918202981106265</v>
      </c>
      <c r="Q230" s="5">
        <f t="shared" si="25"/>
        <v>3.6109179126442243</v>
      </c>
      <c r="R230" s="5">
        <f t="shared" si="25"/>
        <v>2.6390573296152584</v>
      </c>
      <c r="S230" s="5">
        <f t="shared" si="26"/>
        <v>0.26530612244897961</v>
      </c>
      <c r="T230" s="3">
        <f t="shared" si="27"/>
        <v>0</v>
      </c>
      <c r="U230" s="3" t="s">
        <v>96</v>
      </c>
      <c r="V230" s="3">
        <v>3</v>
      </c>
      <c r="W230" s="6">
        <v>6.2</v>
      </c>
      <c r="X230" s="4">
        <v>9</v>
      </c>
      <c r="Y230" s="5">
        <v>0.4</v>
      </c>
      <c r="Z230" s="5">
        <v>1.5</v>
      </c>
      <c r="AA230" s="3" t="s">
        <v>80</v>
      </c>
      <c r="AB230" s="3">
        <v>0</v>
      </c>
      <c r="AC230" s="3" t="s">
        <v>81</v>
      </c>
      <c r="AD230" s="3">
        <v>0</v>
      </c>
      <c r="AE230" s="3" t="s">
        <v>82</v>
      </c>
      <c r="AF230" s="3">
        <v>1</v>
      </c>
      <c r="AG230" s="3" t="s">
        <v>427</v>
      </c>
      <c r="AH230" s="3">
        <v>0</v>
      </c>
      <c r="AI230" s="3">
        <v>1</v>
      </c>
      <c r="AJ230" s="3">
        <v>1</v>
      </c>
      <c r="AK230" s="3">
        <v>0</v>
      </c>
      <c r="AL230" s="3">
        <v>1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1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7" t="s">
        <v>186</v>
      </c>
      <c r="BX230" s="7" t="s">
        <v>688</v>
      </c>
    </row>
    <row r="231" spans="1:76" ht="68">
      <c r="A231" s="3" t="s">
        <v>692</v>
      </c>
      <c r="B231" s="3">
        <v>6488</v>
      </c>
      <c r="C231" s="3" t="s">
        <v>687</v>
      </c>
      <c r="D231" s="3">
        <v>4</v>
      </c>
      <c r="E231" s="4">
        <v>70</v>
      </c>
      <c r="F231" s="3" t="s">
        <v>87</v>
      </c>
      <c r="G231" s="3">
        <v>0</v>
      </c>
      <c r="H231" s="3">
        <v>0</v>
      </c>
      <c r="I231" s="4">
        <v>36</v>
      </c>
      <c r="J231" s="4">
        <v>13</v>
      </c>
      <c r="K231" s="4">
        <v>49</v>
      </c>
      <c r="L231" s="5">
        <f>IF(F231="F",65.79,IF(F231="M",79.94,""))</f>
        <v>65.790000000000006</v>
      </c>
      <c r="M231" s="3">
        <f t="shared" si="21"/>
        <v>0</v>
      </c>
      <c r="N231" s="3" t="str">
        <f t="shared" si="22"/>
        <v>VSC-non-halitosis</v>
      </c>
      <c r="O231" s="3" t="str">
        <f t="shared" si="23"/>
        <v>Clinical- / VSC-</v>
      </c>
      <c r="P231" s="5">
        <f t="shared" si="24"/>
        <v>3.8918202981106265</v>
      </c>
      <c r="Q231" s="5">
        <f t="shared" si="25"/>
        <v>3.6109179126442243</v>
      </c>
      <c r="R231" s="5">
        <f t="shared" si="25"/>
        <v>2.6390573296152584</v>
      </c>
      <c r="S231" s="5">
        <f t="shared" si="26"/>
        <v>0.26530612244897961</v>
      </c>
      <c r="T231" s="3">
        <f t="shared" si="27"/>
        <v>0</v>
      </c>
      <c r="U231" s="3" t="s">
        <v>96</v>
      </c>
      <c r="V231" s="3">
        <v>3</v>
      </c>
      <c r="W231" s="6">
        <v>6.2</v>
      </c>
      <c r="X231" s="4">
        <v>9</v>
      </c>
      <c r="Y231" s="5">
        <v>0.4</v>
      </c>
      <c r="Z231" s="5">
        <v>1.5</v>
      </c>
      <c r="AA231" s="3" t="s">
        <v>80</v>
      </c>
      <c r="AB231" s="3">
        <v>0</v>
      </c>
      <c r="AC231" s="3" t="s">
        <v>81</v>
      </c>
      <c r="AD231" s="3">
        <v>0</v>
      </c>
      <c r="AE231" s="3" t="s">
        <v>82</v>
      </c>
      <c r="AF231" s="3">
        <v>1</v>
      </c>
      <c r="AG231" s="3" t="s">
        <v>82</v>
      </c>
      <c r="AH231" s="3">
        <v>1</v>
      </c>
      <c r="AI231" s="3">
        <v>4</v>
      </c>
      <c r="AJ231" s="3">
        <v>3</v>
      </c>
      <c r="AK231" s="3">
        <v>1</v>
      </c>
      <c r="AL231" s="3">
        <v>1</v>
      </c>
      <c r="AM231" s="3">
        <v>0</v>
      </c>
      <c r="AN231" s="3">
        <v>1</v>
      </c>
      <c r="AO231" s="3">
        <v>0</v>
      </c>
      <c r="AP231" s="3">
        <v>0</v>
      </c>
      <c r="AQ231" s="3">
        <v>1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1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1</v>
      </c>
      <c r="BG231" s="3">
        <v>1</v>
      </c>
      <c r="BH231" s="3">
        <v>1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7" t="s">
        <v>690</v>
      </c>
      <c r="BX231" s="7" t="s">
        <v>80</v>
      </c>
    </row>
    <row r="232" spans="1:76">
      <c r="A232" s="3" t="s">
        <v>693</v>
      </c>
      <c r="B232" s="3">
        <v>3087</v>
      </c>
      <c r="C232" s="3" t="s">
        <v>694</v>
      </c>
      <c r="D232" s="3">
        <v>8</v>
      </c>
      <c r="E232" s="4">
        <v>68</v>
      </c>
      <c r="F232" s="3" t="s">
        <v>87</v>
      </c>
      <c r="G232" s="3">
        <v>0</v>
      </c>
      <c r="H232" s="3">
        <v>0</v>
      </c>
      <c r="I232" s="4">
        <v>50</v>
      </c>
      <c r="J232" s="4">
        <v>15</v>
      </c>
      <c r="K232" s="4">
        <v>65</v>
      </c>
      <c r="L232" s="5">
        <f>IF(F232="F",65.79,IF(F232="M",79.94,""))</f>
        <v>65.790000000000006</v>
      </c>
      <c r="M232" s="3">
        <f t="shared" si="21"/>
        <v>0</v>
      </c>
      <c r="N232" s="3" t="str">
        <f t="shared" si="22"/>
        <v>VSC-non-halitosis</v>
      </c>
      <c r="O232" s="3" t="str">
        <f t="shared" si="23"/>
        <v>Clinical- / VSC-</v>
      </c>
      <c r="P232" s="5">
        <f t="shared" si="24"/>
        <v>4.1743872698956368</v>
      </c>
      <c r="Q232" s="5">
        <f t="shared" si="25"/>
        <v>3.9318256327243257</v>
      </c>
      <c r="R232" s="5">
        <f t="shared" si="25"/>
        <v>2.7725887222397811</v>
      </c>
      <c r="S232" s="5">
        <f t="shared" si="26"/>
        <v>0.23076923076923078</v>
      </c>
      <c r="T232" s="3">
        <f t="shared" si="27"/>
        <v>0</v>
      </c>
      <c r="U232" s="3" t="s">
        <v>96</v>
      </c>
      <c r="V232" s="3">
        <v>3</v>
      </c>
      <c r="W232" s="6">
        <v>6.2</v>
      </c>
      <c r="X232" s="4">
        <v>10</v>
      </c>
      <c r="Y232" s="5">
        <v>0.8</v>
      </c>
      <c r="Z232" s="5">
        <v>1.5</v>
      </c>
      <c r="AA232" s="3" t="s">
        <v>80</v>
      </c>
      <c r="AB232" s="3">
        <v>0</v>
      </c>
      <c r="AC232" s="3" t="s">
        <v>81</v>
      </c>
      <c r="AD232" s="3">
        <v>0</v>
      </c>
      <c r="AE232" s="3" t="s">
        <v>82</v>
      </c>
      <c r="AF232" s="3">
        <v>1</v>
      </c>
      <c r="AG232" s="3" t="s">
        <v>82</v>
      </c>
      <c r="AH232" s="3">
        <v>1</v>
      </c>
      <c r="AI232" s="3">
        <v>1</v>
      </c>
      <c r="AJ232" s="3">
        <v>1</v>
      </c>
      <c r="AK232" s="3">
        <v>0</v>
      </c>
      <c r="AL232" s="3">
        <v>0</v>
      </c>
      <c r="AM232" s="3">
        <v>1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1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7" t="s">
        <v>219</v>
      </c>
      <c r="BX232" s="7" t="s">
        <v>695</v>
      </c>
    </row>
    <row r="233" spans="1:76">
      <c r="A233" s="3" t="s">
        <v>696</v>
      </c>
      <c r="B233" s="3">
        <v>5598</v>
      </c>
      <c r="C233" s="3" t="s">
        <v>694</v>
      </c>
      <c r="D233" s="3">
        <v>8</v>
      </c>
      <c r="E233" s="4">
        <v>68</v>
      </c>
      <c r="F233" s="3" t="s">
        <v>87</v>
      </c>
      <c r="G233" s="3">
        <v>0</v>
      </c>
      <c r="H233" s="3">
        <v>0</v>
      </c>
      <c r="I233" s="4">
        <v>50</v>
      </c>
      <c r="J233" s="4">
        <v>15</v>
      </c>
      <c r="K233" s="4">
        <v>65</v>
      </c>
      <c r="L233" s="5">
        <f>IF(F233="F",65.79,IF(F233="M",79.94,""))</f>
        <v>65.790000000000006</v>
      </c>
      <c r="M233" s="3">
        <f t="shared" si="21"/>
        <v>0</v>
      </c>
      <c r="N233" s="3" t="str">
        <f t="shared" si="22"/>
        <v>VSC-non-halitosis</v>
      </c>
      <c r="O233" s="3" t="str">
        <f t="shared" si="23"/>
        <v>Clinical- / VSC-</v>
      </c>
      <c r="P233" s="5">
        <f t="shared" si="24"/>
        <v>4.1743872698956368</v>
      </c>
      <c r="Q233" s="5">
        <f t="shared" si="25"/>
        <v>3.9318256327243257</v>
      </c>
      <c r="R233" s="5">
        <f t="shared" si="25"/>
        <v>2.7725887222397811</v>
      </c>
      <c r="S233" s="5">
        <f t="shared" si="26"/>
        <v>0.23076923076923078</v>
      </c>
      <c r="T233" s="3">
        <f t="shared" si="27"/>
        <v>0</v>
      </c>
      <c r="U233" s="3" t="s">
        <v>96</v>
      </c>
      <c r="V233" s="3">
        <v>3</v>
      </c>
      <c r="W233" s="6">
        <v>6.2</v>
      </c>
      <c r="X233" s="4">
        <v>10</v>
      </c>
      <c r="Y233" s="5">
        <v>0.8</v>
      </c>
      <c r="Z233" s="5">
        <v>1.5</v>
      </c>
      <c r="AA233" s="3" t="s">
        <v>80</v>
      </c>
      <c r="AB233" s="3">
        <v>0</v>
      </c>
      <c r="AC233" s="3" t="s">
        <v>81</v>
      </c>
      <c r="AD233" s="3">
        <v>0</v>
      </c>
      <c r="AE233" s="3" t="s">
        <v>82</v>
      </c>
      <c r="AF233" s="3">
        <v>1</v>
      </c>
      <c r="AG233" s="3" t="s">
        <v>82</v>
      </c>
      <c r="AH233" s="3">
        <v>1</v>
      </c>
      <c r="AI233" s="3">
        <v>2</v>
      </c>
      <c r="AJ233" s="3">
        <v>1</v>
      </c>
      <c r="AK233" s="3">
        <v>0</v>
      </c>
      <c r="AL233" s="3">
        <v>0</v>
      </c>
      <c r="AM233" s="3">
        <v>1</v>
      </c>
      <c r="AN233" s="3">
        <v>1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1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7" t="s">
        <v>697</v>
      </c>
      <c r="BX233" s="7" t="s">
        <v>119</v>
      </c>
    </row>
    <row r="234" spans="1:76">
      <c r="A234" s="3" t="s">
        <v>698</v>
      </c>
      <c r="B234" s="3">
        <v>3087</v>
      </c>
      <c r="C234" s="3" t="s">
        <v>694</v>
      </c>
      <c r="D234" s="3">
        <v>8</v>
      </c>
      <c r="E234" s="4">
        <v>68</v>
      </c>
      <c r="F234" s="3" t="s">
        <v>87</v>
      </c>
      <c r="G234" s="3">
        <v>0</v>
      </c>
      <c r="H234" s="3">
        <v>0</v>
      </c>
      <c r="I234" s="4">
        <v>50</v>
      </c>
      <c r="J234" s="4">
        <v>15</v>
      </c>
      <c r="K234" s="4">
        <v>65</v>
      </c>
      <c r="L234" s="5">
        <f>IF(F234="F",65.79,IF(F234="M",79.94,""))</f>
        <v>65.790000000000006</v>
      </c>
      <c r="M234" s="3">
        <f t="shared" si="21"/>
        <v>0</v>
      </c>
      <c r="N234" s="3" t="str">
        <f t="shared" si="22"/>
        <v>VSC-non-halitosis</v>
      </c>
      <c r="O234" s="3" t="str">
        <f t="shared" si="23"/>
        <v>Clinical- / VSC-</v>
      </c>
      <c r="P234" s="5">
        <f t="shared" si="24"/>
        <v>4.1743872698956368</v>
      </c>
      <c r="Q234" s="5">
        <f t="shared" si="25"/>
        <v>3.9318256327243257</v>
      </c>
      <c r="R234" s="5">
        <f t="shared" si="25"/>
        <v>2.7725887222397811</v>
      </c>
      <c r="S234" s="5">
        <f t="shared" si="26"/>
        <v>0.23076923076923078</v>
      </c>
      <c r="T234" s="3">
        <f t="shared" si="27"/>
        <v>0</v>
      </c>
      <c r="U234" s="3" t="s">
        <v>96</v>
      </c>
      <c r="V234" s="3">
        <v>3</v>
      </c>
      <c r="W234" s="6">
        <v>6.6</v>
      </c>
      <c r="X234" s="4">
        <v>8</v>
      </c>
      <c r="Y234" s="5">
        <v>0.3</v>
      </c>
      <c r="Z234" s="5">
        <v>0.8</v>
      </c>
      <c r="AA234" s="3" t="s">
        <v>80</v>
      </c>
      <c r="AB234" s="3">
        <v>0</v>
      </c>
      <c r="AC234" s="3" t="s">
        <v>81</v>
      </c>
      <c r="AD234" s="3">
        <v>0</v>
      </c>
      <c r="AE234" s="3" t="s">
        <v>82</v>
      </c>
      <c r="AF234" s="3">
        <v>1</v>
      </c>
      <c r="AG234" s="3" t="s">
        <v>82</v>
      </c>
      <c r="AH234" s="3">
        <v>1</v>
      </c>
      <c r="AI234" s="3">
        <v>1</v>
      </c>
      <c r="AJ234" s="3">
        <v>1</v>
      </c>
      <c r="AK234" s="3">
        <v>0</v>
      </c>
      <c r="AL234" s="3">
        <v>0</v>
      </c>
      <c r="AM234" s="3">
        <v>1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1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7" t="s">
        <v>219</v>
      </c>
      <c r="BX234" s="7" t="s">
        <v>695</v>
      </c>
    </row>
    <row r="235" spans="1:76">
      <c r="A235" s="3" t="s">
        <v>699</v>
      </c>
      <c r="B235" s="3">
        <v>5598</v>
      </c>
      <c r="C235" s="3" t="s">
        <v>694</v>
      </c>
      <c r="D235" s="3">
        <v>8</v>
      </c>
      <c r="E235" s="4">
        <v>68</v>
      </c>
      <c r="F235" s="3" t="s">
        <v>87</v>
      </c>
      <c r="G235" s="3">
        <v>0</v>
      </c>
      <c r="H235" s="3">
        <v>0</v>
      </c>
      <c r="I235" s="4">
        <v>50</v>
      </c>
      <c r="J235" s="4">
        <v>15</v>
      </c>
      <c r="K235" s="4">
        <v>65</v>
      </c>
      <c r="L235" s="5">
        <f>IF(F235="F",65.79,IF(F235="M",79.94,""))</f>
        <v>65.790000000000006</v>
      </c>
      <c r="M235" s="3">
        <f t="shared" si="21"/>
        <v>0</v>
      </c>
      <c r="N235" s="3" t="str">
        <f t="shared" si="22"/>
        <v>VSC-non-halitosis</v>
      </c>
      <c r="O235" s="3" t="str">
        <f t="shared" si="23"/>
        <v>Clinical- / VSC-</v>
      </c>
      <c r="P235" s="5">
        <f t="shared" si="24"/>
        <v>4.1743872698956368</v>
      </c>
      <c r="Q235" s="5">
        <f t="shared" si="25"/>
        <v>3.9318256327243257</v>
      </c>
      <c r="R235" s="5">
        <f t="shared" si="25"/>
        <v>2.7725887222397811</v>
      </c>
      <c r="S235" s="5">
        <f t="shared" si="26"/>
        <v>0.23076923076923078</v>
      </c>
      <c r="T235" s="3">
        <f t="shared" si="27"/>
        <v>0</v>
      </c>
      <c r="U235" s="3" t="s">
        <v>96</v>
      </c>
      <c r="V235" s="3">
        <v>3</v>
      </c>
      <c r="W235" s="6">
        <v>6.6</v>
      </c>
      <c r="X235" s="4">
        <v>8</v>
      </c>
      <c r="Y235" s="5">
        <v>0.3</v>
      </c>
      <c r="Z235" s="5">
        <v>0.8</v>
      </c>
      <c r="AA235" s="3" t="s">
        <v>80</v>
      </c>
      <c r="AB235" s="3">
        <v>0</v>
      </c>
      <c r="AC235" s="3" t="s">
        <v>81</v>
      </c>
      <c r="AD235" s="3">
        <v>0</v>
      </c>
      <c r="AE235" s="3" t="s">
        <v>82</v>
      </c>
      <c r="AF235" s="3">
        <v>1</v>
      </c>
      <c r="AG235" s="3" t="s">
        <v>82</v>
      </c>
      <c r="AH235" s="3">
        <v>1</v>
      </c>
      <c r="AI235" s="3">
        <v>2</v>
      </c>
      <c r="AJ235" s="3">
        <v>1</v>
      </c>
      <c r="AK235" s="3">
        <v>0</v>
      </c>
      <c r="AL235" s="3">
        <v>0</v>
      </c>
      <c r="AM235" s="3">
        <v>1</v>
      </c>
      <c r="AN235" s="3">
        <v>1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1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7" t="s">
        <v>697</v>
      </c>
      <c r="BX235" s="7" t="s">
        <v>119</v>
      </c>
    </row>
    <row r="236" spans="1:76">
      <c r="A236" s="3" t="s">
        <v>700</v>
      </c>
      <c r="B236" s="3">
        <v>3087</v>
      </c>
      <c r="C236" s="3" t="s">
        <v>694</v>
      </c>
      <c r="D236" s="3">
        <v>8</v>
      </c>
      <c r="E236" s="4">
        <v>71</v>
      </c>
      <c r="F236" s="3" t="s">
        <v>87</v>
      </c>
      <c r="G236" s="3">
        <v>0</v>
      </c>
      <c r="H236" s="3">
        <v>0</v>
      </c>
      <c r="I236" s="4">
        <v>2</v>
      </c>
      <c r="J236" s="4">
        <v>0</v>
      </c>
      <c r="K236" s="4">
        <v>2</v>
      </c>
      <c r="L236" s="5">
        <f>IF(F236="F",65.79,IF(F236="M",79.94,""))</f>
        <v>65.790000000000006</v>
      </c>
      <c r="M236" s="3">
        <f t="shared" si="21"/>
        <v>0</v>
      </c>
      <c r="N236" s="3" t="str">
        <f t="shared" si="22"/>
        <v>VSC-non-halitosis</v>
      </c>
      <c r="O236" s="3" t="str">
        <f t="shared" si="23"/>
        <v>Clinical- / VSC-</v>
      </c>
      <c r="P236" s="5">
        <f t="shared" si="24"/>
        <v>0.69314718055994529</v>
      </c>
      <c r="Q236" s="5">
        <f t="shared" si="25"/>
        <v>1.0986122886681098</v>
      </c>
      <c r="R236" s="5">
        <f t="shared" si="25"/>
        <v>0</v>
      </c>
      <c r="S236" s="5">
        <f t="shared" si="26"/>
        <v>0</v>
      </c>
      <c r="T236" s="3">
        <f t="shared" si="27"/>
        <v>0</v>
      </c>
      <c r="U236" s="3" t="s">
        <v>102</v>
      </c>
      <c r="V236" s="3">
        <v>1</v>
      </c>
      <c r="W236" s="6">
        <v>6.2</v>
      </c>
      <c r="X236" s="4">
        <v>10</v>
      </c>
      <c r="Y236" s="5">
        <v>0.8</v>
      </c>
      <c r="Z236" s="5">
        <v>1.5</v>
      </c>
      <c r="AA236" s="3" t="s">
        <v>80</v>
      </c>
      <c r="AB236" s="3">
        <v>0</v>
      </c>
      <c r="AC236" s="3" t="s">
        <v>81</v>
      </c>
      <c r="AD236" s="3">
        <v>0</v>
      </c>
      <c r="AE236" s="3" t="s">
        <v>82</v>
      </c>
      <c r="AF236" s="3">
        <v>1</v>
      </c>
      <c r="AG236" s="3" t="s">
        <v>82</v>
      </c>
      <c r="AH236" s="3">
        <v>1</v>
      </c>
      <c r="AI236" s="3">
        <v>1</v>
      </c>
      <c r="AJ236" s="3">
        <v>1</v>
      </c>
      <c r="AK236" s="3">
        <v>0</v>
      </c>
      <c r="AL236" s="3">
        <v>0</v>
      </c>
      <c r="AM236" s="3">
        <v>1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1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7" t="s">
        <v>219</v>
      </c>
      <c r="BX236" s="7" t="s">
        <v>695</v>
      </c>
    </row>
    <row r="237" spans="1:76">
      <c r="A237" s="3" t="s">
        <v>701</v>
      </c>
      <c r="B237" s="3">
        <v>5598</v>
      </c>
      <c r="C237" s="3" t="s">
        <v>694</v>
      </c>
      <c r="D237" s="3">
        <v>8</v>
      </c>
      <c r="E237" s="4">
        <v>71</v>
      </c>
      <c r="F237" s="3" t="s">
        <v>87</v>
      </c>
      <c r="G237" s="3">
        <v>0</v>
      </c>
      <c r="H237" s="3">
        <v>0</v>
      </c>
      <c r="I237" s="4">
        <v>2</v>
      </c>
      <c r="J237" s="4">
        <v>0</v>
      </c>
      <c r="K237" s="4">
        <v>2</v>
      </c>
      <c r="L237" s="5">
        <f>IF(F237="F",65.79,IF(F237="M",79.94,""))</f>
        <v>65.790000000000006</v>
      </c>
      <c r="M237" s="3">
        <f t="shared" si="21"/>
        <v>0</v>
      </c>
      <c r="N237" s="3" t="str">
        <f t="shared" si="22"/>
        <v>VSC-non-halitosis</v>
      </c>
      <c r="O237" s="3" t="str">
        <f t="shared" si="23"/>
        <v>Clinical- / VSC-</v>
      </c>
      <c r="P237" s="5">
        <f t="shared" si="24"/>
        <v>0.69314718055994529</v>
      </c>
      <c r="Q237" s="5">
        <f t="shared" si="25"/>
        <v>1.0986122886681098</v>
      </c>
      <c r="R237" s="5">
        <f t="shared" si="25"/>
        <v>0</v>
      </c>
      <c r="S237" s="5">
        <f t="shared" si="26"/>
        <v>0</v>
      </c>
      <c r="T237" s="3">
        <f t="shared" si="27"/>
        <v>0</v>
      </c>
      <c r="U237" s="3" t="s">
        <v>102</v>
      </c>
      <c r="V237" s="3">
        <v>1</v>
      </c>
      <c r="W237" s="6">
        <v>6.2</v>
      </c>
      <c r="X237" s="4">
        <v>10</v>
      </c>
      <c r="Y237" s="5">
        <v>0.8</v>
      </c>
      <c r="Z237" s="5">
        <v>1.5</v>
      </c>
      <c r="AA237" s="3" t="s">
        <v>80</v>
      </c>
      <c r="AB237" s="3">
        <v>0</v>
      </c>
      <c r="AC237" s="3" t="s">
        <v>81</v>
      </c>
      <c r="AD237" s="3">
        <v>0</v>
      </c>
      <c r="AE237" s="3" t="s">
        <v>82</v>
      </c>
      <c r="AF237" s="3">
        <v>1</v>
      </c>
      <c r="AG237" s="3" t="s">
        <v>82</v>
      </c>
      <c r="AH237" s="3">
        <v>1</v>
      </c>
      <c r="AI237" s="3">
        <v>2</v>
      </c>
      <c r="AJ237" s="3">
        <v>1</v>
      </c>
      <c r="AK237" s="3">
        <v>0</v>
      </c>
      <c r="AL237" s="3">
        <v>0</v>
      </c>
      <c r="AM237" s="3">
        <v>1</v>
      </c>
      <c r="AN237" s="3">
        <v>1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1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7" t="s">
        <v>697</v>
      </c>
      <c r="BX237" s="7" t="s">
        <v>119</v>
      </c>
    </row>
    <row r="238" spans="1:76">
      <c r="A238" s="3" t="s">
        <v>702</v>
      </c>
      <c r="B238" s="3">
        <v>3087</v>
      </c>
      <c r="C238" s="3" t="s">
        <v>694</v>
      </c>
      <c r="D238" s="3">
        <v>8</v>
      </c>
      <c r="E238" s="4">
        <v>71</v>
      </c>
      <c r="F238" s="3" t="s">
        <v>87</v>
      </c>
      <c r="G238" s="3">
        <v>0</v>
      </c>
      <c r="H238" s="3">
        <v>0</v>
      </c>
      <c r="I238" s="4">
        <v>2</v>
      </c>
      <c r="J238" s="4">
        <v>0</v>
      </c>
      <c r="K238" s="4">
        <v>2</v>
      </c>
      <c r="L238" s="5">
        <f>IF(F238="F",65.79,IF(F238="M",79.94,""))</f>
        <v>65.790000000000006</v>
      </c>
      <c r="M238" s="3">
        <f t="shared" si="21"/>
        <v>0</v>
      </c>
      <c r="N238" s="3" t="str">
        <f t="shared" si="22"/>
        <v>VSC-non-halitosis</v>
      </c>
      <c r="O238" s="3" t="str">
        <f t="shared" si="23"/>
        <v>Clinical- / VSC-</v>
      </c>
      <c r="P238" s="5">
        <f t="shared" si="24"/>
        <v>0.69314718055994529</v>
      </c>
      <c r="Q238" s="5">
        <f t="shared" si="25"/>
        <v>1.0986122886681098</v>
      </c>
      <c r="R238" s="5">
        <f t="shared" si="25"/>
        <v>0</v>
      </c>
      <c r="S238" s="5">
        <f t="shared" si="26"/>
        <v>0</v>
      </c>
      <c r="T238" s="3">
        <f t="shared" si="27"/>
        <v>0</v>
      </c>
      <c r="U238" s="3" t="s">
        <v>102</v>
      </c>
      <c r="V238" s="3">
        <v>1</v>
      </c>
      <c r="W238" s="6">
        <v>6.6</v>
      </c>
      <c r="X238" s="4">
        <v>8</v>
      </c>
      <c r="Y238" s="5">
        <v>0.3</v>
      </c>
      <c r="Z238" s="5">
        <v>0.8</v>
      </c>
      <c r="AA238" s="3" t="s">
        <v>80</v>
      </c>
      <c r="AB238" s="3">
        <v>0</v>
      </c>
      <c r="AC238" s="3" t="s">
        <v>81</v>
      </c>
      <c r="AD238" s="3">
        <v>0</v>
      </c>
      <c r="AE238" s="3" t="s">
        <v>82</v>
      </c>
      <c r="AF238" s="3">
        <v>1</v>
      </c>
      <c r="AG238" s="3" t="s">
        <v>82</v>
      </c>
      <c r="AH238" s="3">
        <v>1</v>
      </c>
      <c r="AI238" s="3">
        <v>1</v>
      </c>
      <c r="AJ238" s="3">
        <v>1</v>
      </c>
      <c r="AK238" s="3">
        <v>0</v>
      </c>
      <c r="AL238" s="3">
        <v>0</v>
      </c>
      <c r="AM238" s="3">
        <v>1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1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7" t="s">
        <v>219</v>
      </c>
      <c r="BX238" s="7" t="s">
        <v>695</v>
      </c>
    </row>
    <row r="239" spans="1:76">
      <c r="A239" s="3" t="s">
        <v>703</v>
      </c>
      <c r="B239" s="3">
        <v>5598</v>
      </c>
      <c r="C239" s="3" t="s">
        <v>694</v>
      </c>
      <c r="D239" s="3">
        <v>8</v>
      </c>
      <c r="E239" s="4">
        <v>71</v>
      </c>
      <c r="F239" s="3" t="s">
        <v>87</v>
      </c>
      <c r="G239" s="3">
        <v>0</v>
      </c>
      <c r="H239" s="3">
        <v>0</v>
      </c>
      <c r="I239" s="4">
        <v>2</v>
      </c>
      <c r="J239" s="4">
        <v>0</v>
      </c>
      <c r="K239" s="4">
        <v>2</v>
      </c>
      <c r="L239" s="5">
        <f>IF(F239="F",65.79,IF(F239="M",79.94,""))</f>
        <v>65.790000000000006</v>
      </c>
      <c r="M239" s="3">
        <f t="shared" si="21"/>
        <v>0</v>
      </c>
      <c r="N239" s="3" t="str">
        <f t="shared" si="22"/>
        <v>VSC-non-halitosis</v>
      </c>
      <c r="O239" s="3" t="str">
        <f t="shared" si="23"/>
        <v>Clinical- / VSC-</v>
      </c>
      <c r="P239" s="5">
        <f t="shared" si="24"/>
        <v>0.69314718055994529</v>
      </c>
      <c r="Q239" s="5">
        <f t="shared" si="25"/>
        <v>1.0986122886681098</v>
      </c>
      <c r="R239" s="5">
        <f t="shared" si="25"/>
        <v>0</v>
      </c>
      <c r="S239" s="5">
        <f t="shared" si="26"/>
        <v>0</v>
      </c>
      <c r="T239" s="3">
        <f t="shared" si="27"/>
        <v>0</v>
      </c>
      <c r="U239" s="3" t="s">
        <v>102</v>
      </c>
      <c r="V239" s="3">
        <v>1</v>
      </c>
      <c r="W239" s="6">
        <v>6.6</v>
      </c>
      <c r="X239" s="4">
        <v>8</v>
      </c>
      <c r="Y239" s="5">
        <v>0.3</v>
      </c>
      <c r="Z239" s="5">
        <v>0.8</v>
      </c>
      <c r="AA239" s="3" t="s">
        <v>80</v>
      </c>
      <c r="AB239" s="3">
        <v>0</v>
      </c>
      <c r="AC239" s="3" t="s">
        <v>81</v>
      </c>
      <c r="AD239" s="3">
        <v>0</v>
      </c>
      <c r="AE239" s="3" t="s">
        <v>82</v>
      </c>
      <c r="AF239" s="3">
        <v>1</v>
      </c>
      <c r="AG239" s="3" t="s">
        <v>82</v>
      </c>
      <c r="AH239" s="3">
        <v>1</v>
      </c>
      <c r="AI239" s="3">
        <v>2</v>
      </c>
      <c r="AJ239" s="3">
        <v>1</v>
      </c>
      <c r="AK239" s="3">
        <v>0</v>
      </c>
      <c r="AL239" s="3">
        <v>0</v>
      </c>
      <c r="AM239" s="3">
        <v>1</v>
      </c>
      <c r="AN239" s="3">
        <v>1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1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7" t="s">
        <v>697</v>
      </c>
      <c r="BX239" s="7" t="s">
        <v>119</v>
      </c>
    </row>
    <row r="240" spans="1:76">
      <c r="A240" s="3" t="s">
        <v>704</v>
      </c>
      <c r="B240" s="3">
        <v>5943</v>
      </c>
      <c r="C240" s="3" t="s">
        <v>705</v>
      </c>
      <c r="D240" s="3">
        <v>1</v>
      </c>
      <c r="E240" s="4">
        <v>71</v>
      </c>
      <c r="F240" s="3" t="s">
        <v>87</v>
      </c>
      <c r="G240" s="3">
        <v>0</v>
      </c>
      <c r="H240" s="3">
        <v>0</v>
      </c>
      <c r="I240" s="4">
        <v>6</v>
      </c>
      <c r="J240" s="4">
        <v>3</v>
      </c>
      <c r="K240" s="4">
        <v>9</v>
      </c>
      <c r="L240" s="5">
        <f>IF(F240="F",65.79,IF(F240="M",79.94,""))</f>
        <v>65.790000000000006</v>
      </c>
      <c r="M240" s="3">
        <f t="shared" si="21"/>
        <v>0</v>
      </c>
      <c r="N240" s="3" t="str">
        <f t="shared" si="22"/>
        <v>VSC-non-halitosis</v>
      </c>
      <c r="O240" s="3" t="str">
        <f t="shared" si="23"/>
        <v>Clinical- / VSC-</v>
      </c>
      <c r="P240" s="5">
        <f t="shared" si="24"/>
        <v>2.1972245773362196</v>
      </c>
      <c r="Q240" s="5">
        <f t="shared" si="25"/>
        <v>1.9459101490553132</v>
      </c>
      <c r="R240" s="5">
        <f t="shared" si="25"/>
        <v>1.3862943611198906</v>
      </c>
      <c r="S240" s="5">
        <f t="shared" si="26"/>
        <v>0.33333333333333331</v>
      </c>
      <c r="T240" s="3">
        <f t="shared" si="27"/>
        <v>0</v>
      </c>
      <c r="U240" s="3" t="s">
        <v>79</v>
      </c>
      <c r="V240" s="3">
        <v>2</v>
      </c>
      <c r="W240" s="6">
        <v>6.2</v>
      </c>
      <c r="X240" s="4">
        <v>7</v>
      </c>
      <c r="Y240" s="5">
        <v>0.4</v>
      </c>
      <c r="Z240" s="5">
        <v>1.6</v>
      </c>
      <c r="AA240" s="3" t="s">
        <v>97</v>
      </c>
      <c r="AB240" s="3">
        <v>0</v>
      </c>
      <c r="AC240" s="3" t="s">
        <v>81</v>
      </c>
      <c r="AD240" s="3">
        <v>0</v>
      </c>
      <c r="AE240" s="3" t="s">
        <v>82</v>
      </c>
      <c r="AF240" s="3">
        <v>1</v>
      </c>
      <c r="AG240" s="3" t="s">
        <v>82</v>
      </c>
      <c r="AH240" s="3">
        <v>1</v>
      </c>
      <c r="AI240" s="3">
        <v>0</v>
      </c>
      <c r="AJ240" s="3">
        <v>1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1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7"/>
      <c r="BX240" s="7" t="s">
        <v>706</v>
      </c>
    </row>
    <row r="241" spans="1:76" ht="34">
      <c r="A241" s="3" t="s">
        <v>707</v>
      </c>
      <c r="B241" s="3">
        <v>6547</v>
      </c>
      <c r="C241" s="3" t="s">
        <v>708</v>
      </c>
      <c r="D241" s="3">
        <v>1</v>
      </c>
      <c r="E241" s="4">
        <v>71</v>
      </c>
      <c r="F241" s="3" t="s">
        <v>87</v>
      </c>
      <c r="G241" s="3">
        <v>0</v>
      </c>
      <c r="H241" s="3">
        <v>0</v>
      </c>
      <c r="I241" s="4">
        <v>0</v>
      </c>
      <c r="J241" s="4">
        <v>2</v>
      </c>
      <c r="K241" s="4">
        <v>2</v>
      </c>
      <c r="L241" s="5">
        <f>IF(F241="F",65.79,IF(F241="M",79.94,""))</f>
        <v>65.790000000000006</v>
      </c>
      <c r="M241" s="3">
        <f t="shared" si="21"/>
        <v>0</v>
      </c>
      <c r="N241" s="3" t="str">
        <f t="shared" si="22"/>
        <v>VSC-non-halitosis</v>
      </c>
      <c r="O241" s="3" t="str">
        <f t="shared" si="23"/>
        <v>Clinical- / VSC-</v>
      </c>
      <c r="P241" s="5">
        <f t="shared" si="24"/>
        <v>0.69314718055994529</v>
      </c>
      <c r="Q241" s="5">
        <f t="shared" si="25"/>
        <v>0</v>
      </c>
      <c r="R241" s="5">
        <f t="shared" si="25"/>
        <v>1.0986122886681098</v>
      </c>
      <c r="S241" s="5">
        <f t="shared" si="26"/>
        <v>1</v>
      </c>
      <c r="T241" s="3">
        <f t="shared" si="27"/>
        <v>1</v>
      </c>
      <c r="U241" s="3" t="s">
        <v>102</v>
      </c>
      <c r="V241" s="3">
        <v>1</v>
      </c>
      <c r="W241" s="6">
        <v>7.4</v>
      </c>
      <c r="X241" s="4">
        <v>11</v>
      </c>
      <c r="Y241" s="5">
        <v>0.5</v>
      </c>
      <c r="Z241" s="5">
        <v>2</v>
      </c>
      <c r="AA241" s="3" t="s">
        <v>80</v>
      </c>
      <c r="AB241" s="3">
        <v>0</v>
      </c>
      <c r="AC241" s="3" t="s">
        <v>113</v>
      </c>
      <c r="AD241" s="3">
        <v>0</v>
      </c>
      <c r="AE241" s="3" t="s">
        <v>98</v>
      </c>
      <c r="AF241" s="3">
        <v>0</v>
      </c>
      <c r="AG241" s="3" t="s">
        <v>82</v>
      </c>
      <c r="AH241" s="3">
        <v>1</v>
      </c>
      <c r="AI241" s="3">
        <v>4</v>
      </c>
      <c r="AJ241" s="3">
        <v>2</v>
      </c>
      <c r="AK241" s="3">
        <v>0</v>
      </c>
      <c r="AL241" s="3">
        <v>1</v>
      </c>
      <c r="AM241" s="3">
        <v>1</v>
      </c>
      <c r="AN241" s="3">
        <v>1</v>
      </c>
      <c r="AO241" s="3">
        <v>0</v>
      </c>
      <c r="AP241" s="3">
        <v>0</v>
      </c>
      <c r="AQ241" s="3">
        <v>1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1</v>
      </c>
      <c r="BG241" s="3">
        <v>0</v>
      </c>
      <c r="BH241" s="3">
        <v>0</v>
      </c>
      <c r="BI241" s="3">
        <v>0</v>
      </c>
      <c r="BJ241" s="3">
        <v>0</v>
      </c>
      <c r="BK241" s="3">
        <v>1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7" t="s">
        <v>709</v>
      </c>
      <c r="BX241" s="7" t="s">
        <v>80</v>
      </c>
    </row>
    <row r="242" spans="1:76">
      <c r="A242" s="3" t="s">
        <v>710</v>
      </c>
      <c r="B242" s="3">
        <v>6805</v>
      </c>
      <c r="C242" s="3" t="s">
        <v>711</v>
      </c>
      <c r="D242" s="3">
        <v>1</v>
      </c>
      <c r="E242" s="4">
        <v>70</v>
      </c>
      <c r="F242" s="3" t="s">
        <v>87</v>
      </c>
      <c r="G242" s="3">
        <v>0</v>
      </c>
      <c r="H242" s="3">
        <v>1</v>
      </c>
      <c r="I242" s="4">
        <v>0</v>
      </c>
      <c r="J242" s="4">
        <v>3</v>
      </c>
      <c r="K242" s="4">
        <v>3</v>
      </c>
      <c r="L242" s="5">
        <f>IF(F242="F",65.79,IF(F242="M",79.94,""))</f>
        <v>65.790000000000006</v>
      </c>
      <c r="M242" s="3">
        <f t="shared" si="21"/>
        <v>0</v>
      </c>
      <c r="N242" s="3" t="str">
        <f t="shared" si="22"/>
        <v>VSC-non-halitosis</v>
      </c>
      <c r="O242" s="3" t="str">
        <f t="shared" si="23"/>
        <v>Clinical- / VSC-</v>
      </c>
      <c r="P242" s="5">
        <f t="shared" si="24"/>
        <v>1.0986122886681098</v>
      </c>
      <c r="Q242" s="5">
        <f t="shared" si="25"/>
        <v>0</v>
      </c>
      <c r="R242" s="5">
        <f t="shared" si="25"/>
        <v>1.3862943611198906</v>
      </c>
      <c r="S242" s="5">
        <f t="shared" si="26"/>
        <v>1</v>
      </c>
      <c r="T242" s="3">
        <f t="shared" si="27"/>
        <v>1</v>
      </c>
      <c r="U242" s="3" t="s">
        <v>102</v>
      </c>
      <c r="V242" s="3">
        <v>1</v>
      </c>
      <c r="W242" s="6">
        <v>7.2</v>
      </c>
      <c r="X242" s="4">
        <v>12</v>
      </c>
      <c r="Y242" s="5">
        <v>0.55000000000000004</v>
      </c>
      <c r="Z242" s="5">
        <v>1.8</v>
      </c>
      <c r="AA242" s="3" t="s">
        <v>80</v>
      </c>
      <c r="AB242" s="3">
        <v>0</v>
      </c>
      <c r="AC242" s="3" t="s">
        <v>81</v>
      </c>
      <c r="AD242" s="3">
        <v>0</v>
      </c>
      <c r="AE242" s="3" t="s">
        <v>82</v>
      </c>
      <c r="AF242" s="3">
        <v>1</v>
      </c>
      <c r="AG242" s="3" t="s">
        <v>82</v>
      </c>
      <c r="AH242" s="3">
        <v>1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7" t="s">
        <v>712</v>
      </c>
      <c r="BX242" s="7" t="s">
        <v>80</v>
      </c>
    </row>
    <row r="243" spans="1:76">
      <c r="A243" s="3" t="s">
        <v>713</v>
      </c>
      <c r="B243" s="3">
        <v>2981</v>
      </c>
      <c r="C243" s="3" t="s">
        <v>714</v>
      </c>
      <c r="D243" s="3">
        <v>1</v>
      </c>
      <c r="E243" s="4">
        <v>65</v>
      </c>
      <c r="F243" s="3" t="s">
        <v>87</v>
      </c>
      <c r="G243" s="3">
        <v>0</v>
      </c>
      <c r="H243" s="3">
        <v>0</v>
      </c>
      <c r="I243" s="4">
        <v>4</v>
      </c>
      <c r="J243" s="4">
        <v>0</v>
      </c>
      <c r="K243" s="4">
        <v>4</v>
      </c>
      <c r="L243" s="5">
        <f>IF(F243="F",65.79,IF(F243="M",79.94,""))</f>
        <v>65.790000000000006</v>
      </c>
      <c r="M243" s="3">
        <f t="shared" si="21"/>
        <v>0</v>
      </c>
      <c r="N243" s="3" t="str">
        <f t="shared" si="22"/>
        <v>VSC-non-halitosis</v>
      </c>
      <c r="O243" s="3" t="str">
        <f t="shared" si="23"/>
        <v>Clinical- / VSC-</v>
      </c>
      <c r="P243" s="5">
        <f t="shared" si="24"/>
        <v>1.3862943611198906</v>
      </c>
      <c r="Q243" s="5">
        <f t="shared" si="25"/>
        <v>1.6094379124341003</v>
      </c>
      <c r="R243" s="5">
        <f t="shared" si="25"/>
        <v>0</v>
      </c>
      <c r="S243" s="5">
        <f t="shared" si="26"/>
        <v>0</v>
      </c>
      <c r="T243" s="3">
        <f t="shared" si="27"/>
        <v>0</v>
      </c>
      <c r="U243" s="3" t="s">
        <v>79</v>
      </c>
      <c r="V243" s="3">
        <v>2</v>
      </c>
      <c r="W243" s="6">
        <v>7.2</v>
      </c>
      <c r="X243" s="4">
        <v>12</v>
      </c>
      <c r="Y243" s="5">
        <v>0.5</v>
      </c>
      <c r="Z243" s="5">
        <v>0.8</v>
      </c>
      <c r="AA243" s="3" t="s">
        <v>80</v>
      </c>
      <c r="AB243" s="3">
        <v>0</v>
      </c>
      <c r="AC243" s="3" t="s">
        <v>82</v>
      </c>
      <c r="AD243" s="3">
        <v>0</v>
      </c>
      <c r="AE243" s="3" t="s">
        <v>82</v>
      </c>
      <c r="AF243" s="3">
        <v>1</v>
      </c>
      <c r="AG243" s="3" t="s">
        <v>80</v>
      </c>
      <c r="AH243" s="3">
        <v>0</v>
      </c>
      <c r="AI243" s="3">
        <v>1</v>
      </c>
      <c r="AJ243" s="3">
        <v>1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1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7" t="s">
        <v>197</v>
      </c>
      <c r="BX243" s="7" t="s">
        <v>715</v>
      </c>
    </row>
    <row r="244" spans="1:76">
      <c r="A244" s="3" t="s">
        <v>716</v>
      </c>
      <c r="B244" s="3">
        <v>5764</v>
      </c>
      <c r="C244" s="3" t="s">
        <v>717</v>
      </c>
      <c r="D244" s="3">
        <v>1</v>
      </c>
      <c r="E244" s="4">
        <v>68</v>
      </c>
      <c r="F244" s="3" t="s">
        <v>87</v>
      </c>
      <c r="G244" s="3">
        <v>0</v>
      </c>
      <c r="H244" s="3">
        <v>0</v>
      </c>
      <c r="I244" s="4">
        <v>110</v>
      </c>
      <c r="J244" s="4">
        <v>1</v>
      </c>
      <c r="K244" s="4">
        <v>111</v>
      </c>
      <c r="L244" s="5">
        <f>IF(F244="F",65.79,IF(F244="M",79.94,""))</f>
        <v>65.790000000000006</v>
      </c>
      <c r="M244" s="3">
        <f t="shared" si="21"/>
        <v>1</v>
      </c>
      <c r="N244" s="3" t="str">
        <f t="shared" si="22"/>
        <v>VSC-halitosis</v>
      </c>
      <c r="O244" s="3" t="str">
        <f t="shared" si="23"/>
        <v>Clinical- / VSC+</v>
      </c>
      <c r="P244" s="5">
        <f t="shared" si="24"/>
        <v>4.7095302013123339</v>
      </c>
      <c r="Q244" s="5">
        <f t="shared" si="25"/>
        <v>4.7095302013123339</v>
      </c>
      <c r="R244" s="5">
        <f t="shared" si="25"/>
        <v>0.69314718055994529</v>
      </c>
      <c r="S244" s="5">
        <f t="shared" si="26"/>
        <v>9.0090090090090089E-3</v>
      </c>
      <c r="T244" s="3">
        <f t="shared" si="27"/>
        <v>0</v>
      </c>
      <c r="U244" s="3" t="s">
        <v>96</v>
      </c>
      <c r="V244" s="3">
        <v>3</v>
      </c>
      <c r="W244" s="6">
        <v>6.4</v>
      </c>
      <c r="X244" s="4">
        <v>12</v>
      </c>
      <c r="Y244" s="5">
        <v>0.3</v>
      </c>
      <c r="Z244" s="5">
        <v>1.4</v>
      </c>
      <c r="AA244" s="3" t="s">
        <v>108</v>
      </c>
      <c r="AB244" s="3">
        <v>1</v>
      </c>
      <c r="AC244" s="3" t="s">
        <v>81</v>
      </c>
      <c r="AD244" s="3">
        <v>0</v>
      </c>
      <c r="AE244" s="3" t="s">
        <v>98</v>
      </c>
      <c r="AF244" s="3">
        <v>0</v>
      </c>
      <c r="AG244" s="3" t="s">
        <v>82</v>
      </c>
      <c r="AH244" s="3">
        <v>1</v>
      </c>
      <c r="AI244" s="3">
        <v>1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1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7"/>
      <c r="BX244" s="7" t="s">
        <v>718</v>
      </c>
    </row>
    <row r="245" spans="1:76">
      <c r="A245" s="3" t="s">
        <v>719</v>
      </c>
      <c r="B245" s="3">
        <v>3836</v>
      </c>
      <c r="C245" s="3" t="s">
        <v>720</v>
      </c>
      <c r="D245" s="3">
        <v>1</v>
      </c>
      <c r="E245" s="4">
        <v>64</v>
      </c>
      <c r="F245" s="3" t="s">
        <v>78</v>
      </c>
      <c r="G245" s="3">
        <v>0</v>
      </c>
      <c r="H245" s="3">
        <v>0</v>
      </c>
      <c r="I245" s="4">
        <v>1</v>
      </c>
      <c r="J245" s="4">
        <v>0</v>
      </c>
      <c r="K245" s="4">
        <v>1</v>
      </c>
      <c r="L245" s="5">
        <f>IF(F245="F",65.79,IF(F245="M",79.94,""))</f>
        <v>79.94</v>
      </c>
      <c r="M245" s="3">
        <f t="shared" si="21"/>
        <v>0</v>
      </c>
      <c r="N245" s="3" t="str">
        <f t="shared" si="22"/>
        <v>VSC-non-halitosis</v>
      </c>
      <c r="O245" s="3" t="str">
        <f t="shared" si="23"/>
        <v>Clinical- / VSC-</v>
      </c>
      <c r="P245" s="5">
        <f t="shared" si="24"/>
        <v>0</v>
      </c>
      <c r="Q245" s="5">
        <f t="shared" si="25"/>
        <v>0.69314718055994529</v>
      </c>
      <c r="R245" s="5">
        <f t="shared" si="25"/>
        <v>0</v>
      </c>
      <c r="S245" s="5">
        <f t="shared" si="26"/>
        <v>0</v>
      </c>
      <c r="T245" s="3">
        <f t="shared" si="27"/>
        <v>0</v>
      </c>
      <c r="U245" s="3" t="s">
        <v>102</v>
      </c>
      <c r="V245" s="3">
        <v>1</v>
      </c>
      <c r="W245" s="6">
        <v>7.6</v>
      </c>
      <c r="X245" s="4">
        <v>8</v>
      </c>
      <c r="Y245" s="5">
        <v>0.3</v>
      </c>
      <c r="Z245" s="5">
        <v>1.5</v>
      </c>
      <c r="AA245" s="3" t="s">
        <v>80</v>
      </c>
      <c r="AB245" s="3">
        <v>0</v>
      </c>
      <c r="AC245" s="3" t="s">
        <v>81</v>
      </c>
      <c r="AD245" s="3">
        <v>0</v>
      </c>
      <c r="AE245" s="3" t="s">
        <v>82</v>
      </c>
      <c r="AF245" s="3">
        <v>1</v>
      </c>
      <c r="AG245" s="3" t="s">
        <v>82</v>
      </c>
      <c r="AH245" s="3">
        <v>1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7" t="s">
        <v>119</v>
      </c>
      <c r="BX245" s="7" t="s">
        <v>119</v>
      </c>
    </row>
    <row r="246" spans="1:76">
      <c r="A246" s="3" t="s">
        <v>721</v>
      </c>
      <c r="B246" s="3">
        <v>6913</v>
      </c>
      <c r="C246" s="3" t="s">
        <v>722</v>
      </c>
      <c r="D246" s="3">
        <v>1</v>
      </c>
      <c r="E246" s="4">
        <v>68</v>
      </c>
      <c r="F246" s="3" t="s">
        <v>87</v>
      </c>
      <c r="G246" s="3">
        <v>0</v>
      </c>
      <c r="H246" s="3">
        <v>1</v>
      </c>
      <c r="I246" s="4">
        <v>6</v>
      </c>
      <c r="J246" s="4">
        <v>2</v>
      </c>
      <c r="K246" s="4">
        <v>8</v>
      </c>
      <c r="L246" s="5">
        <f>IF(F246="F",65.79,IF(F246="M",79.94,""))</f>
        <v>65.790000000000006</v>
      </c>
      <c r="M246" s="3">
        <f t="shared" si="21"/>
        <v>0</v>
      </c>
      <c r="N246" s="3" t="str">
        <f t="shared" si="22"/>
        <v>VSC-non-halitosis</v>
      </c>
      <c r="O246" s="3" t="str">
        <f t="shared" si="23"/>
        <v>Clinical- / VSC-</v>
      </c>
      <c r="P246" s="5">
        <f t="shared" si="24"/>
        <v>2.0794415416798357</v>
      </c>
      <c r="Q246" s="5">
        <f t="shared" si="25"/>
        <v>1.9459101490553132</v>
      </c>
      <c r="R246" s="5">
        <f t="shared" si="25"/>
        <v>1.0986122886681098</v>
      </c>
      <c r="S246" s="5">
        <f t="shared" si="26"/>
        <v>0.25</v>
      </c>
      <c r="T246" s="3">
        <f t="shared" si="27"/>
        <v>0</v>
      </c>
      <c r="U246" s="3" t="s">
        <v>79</v>
      </c>
      <c r="V246" s="3">
        <v>2</v>
      </c>
      <c r="W246" s="6">
        <v>6.2</v>
      </c>
      <c r="X246" s="4">
        <v>7</v>
      </c>
      <c r="Y246" s="5"/>
      <c r="Z246" s="5"/>
      <c r="AA246" s="3" t="s">
        <v>80</v>
      </c>
      <c r="AB246" s="3">
        <v>0</v>
      </c>
      <c r="AC246" s="3" t="s">
        <v>81</v>
      </c>
      <c r="AD246" s="3">
        <v>0</v>
      </c>
      <c r="AE246" s="3" t="s">
        <v>82</v>
      </c>
      <c r="AF246" s="3">
        <v>1</v>
      </c>
      <c r="AG246" s="3" t="s">
        <v>103</v>
      </c>
      <c r="AH246" s="3">
        <v>1</v>
      </c>
      <c r="AI246" s="3">
        <v>2</v>
      </c>
      <c r="AJ246" s="3">
        <v>0</v>
      </c>
      <c r="AK246" s="3">
        <v>0</v>
      </c>
      <c r="AL246" s="3">
        <v>1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1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7" t="s">
        <v>723</v>
      </c>
      <c r="BX246" s="7" t="s">
        <v>724</v>
      </c>
    </row>
    <row r="247" spans="1:76">
      <c r="A247" s="3" t="s">
        <v>725</v>
      </c>
      <c r="B247" s="3">
        <v>5955</v>
      </c>
      <c r="C247" s="3" t="s">
        <v>726</v>
      </c>
      <c r="D247" s="3">
        <v>1</v>
      </c>
      <c r="E247" s="4">
        <v>66</v>
      </c>
      <c r="F247" s="3" t="s">
        <v>87</v>
      </c>
      <c r="G247" s="3">
        <v>0</v>
      </c>
      <c r="H247" s="3">
        <v>0</v>
      </c>
      <c r="I247" s="4">
        <v>51</v>
      </c>
      <c r="J247" s="4">
        <v>5</v>
      </c>
      <c r="K247" s="4">
        <v>56</v>
      </c>
      <c r="L247" s="5">
        <f>IF(F247="F",65.79,IF(F247="M",79.94,""))</f>
        <v>65.790000000000006</v>
      </c>
      <c r="M247" s="3">
        <f t="shared" si="21"/>
        <v>0</v>
      </c>
      <c r="N247" s="3" t="str">
        <f t="shared" si="22"/>
        <v>VSC-non-halitosis</v>
      </c>
      <c r="O247" s="3" t="str">
        <f t="shared" si="23"/>
        <v>Clinical- / VSC-</v>
      </c>
      <c r="P247" s="5">
        <f t="shared" si="24"/>
        <v>4.0253516907351496</v>
      </c>
      <c r="Q247" s="5">
        <f t="shared" si="25"/>
        <v>3.9512437185814275</v>
      </c>
      <c r="R247" s="5">
        <f t="shared" si="25"/>
        <v>1.791759469228055</v>
      </c>
      <c r="S247" s="5">
        <f t="shared" si="26"/>
        <v>8.9285714285714288E-2</v>
      </c>
      <c r="T247" s="3">
        <f t="shared" si="27"/>
        <v>0</v>
      </c>
      <c r="U247" s="3" t="s">
        <v>96</v>
      </c>
      <c r="V247" s="3">
        <v>3</v>
      </c>
      <c r="W247" s="6">
        <v>6.8</v>
      </c>
      <c r="X247" s="4">
        <v>8</v>
      </c>
      <c r="Y247" s="5">
        <v>0.3</v>
      </c>
      <c r="Z247" s="5">
        <v>1</v>
      </c>
      <c r="AA247" s="3" t="s">
        <v>97</v>
      </c>
      <c r="AB247" s="3">
        <v>0</v>
      </c>
      <c r="AC247" s="3" t="s">
        <v>81</v>
      </c>
      <c r="AD247" s="3">
        <v>0</v>
      </c>
      <c r="AE247" s="3" t="s">
        <v>82</v>
      </c>
      <c r="AF247" s="3">
        <v>1</v>
      </c>
      <c r="AG247" s="3" t="s">
        <v>98</v>
      </c>
      <c r="AH247" s="3">
        <v>0</v>
      </c>
      <c r="AI247" s="3">
        <v>2</v>
      </c>
      <c r="AJ247" s="3">
        <v>1</v>
      </c>
      <c r="AK247" s="3">
        <v>0</v>
      </c>
      <c r="AL247" s="3">
        <v>1</v>
      </c>
      <c r="AM247" s="3">
        <v>0</v>
      </c>
      <c r="AN247" s="3">
        <v>0</v>
      </c>
      <c r="AO247" s="3">
        <v>0</v>
      </c>
      <c r="AP247" s="3">
        <v>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1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7" t="s">
        <v>173</v>
      </c>
      <c r="BX247" s="7" t="s">
        <v>727</v>
      </c>
    </row>
    <row r="248" spans="1:76">
      <c r="A248" s="3" t="s">
        <v>728</v>
      </c>
      <c r="B248" s="3">
        <v>5876</v>
      </c>
      <c r="C248" s="3" t="s">
        <v>729</v>
      </c>
      <c r="D248" s="3">
        <v>1</v>
      </c>
      <c r="E248" s="4">
        <v>65</v>
      </c>
      <c r="F248" s="3" t="s">
        <v>87</v>
      </c>
      <c r="G248" s="3">
        <v>0</v>
      </c>
      <c r="H248" s="3">
        <v>0</v>
      </c>
      <c r="I248" s="4">
        <v>21</v>
      </c>
      <c r="J248" s="4">
        <v>4</v>
      </c>
      <c r="K248" s="4">
        <v>25</v>
      </c>
      <c r="L248" s="5">
        <f>IF(F248="F",65.79,IF(F248="M",79.94,""))</f>
        <v>65.790000000000006</v>
      </c>
      <c r="M248" s="3">
        <f t="shared" si="21"/>
        <v>0</v>
      </c>
      <c r="N248" s="3" t="str">
        <f t="shared" si="22"/>
        <v>VSC-non-halitosis</v>
      </c>
      <c r="O248" s="3" t="str">
        <f t="shared" si="23"/>
        <v>Clinical- / VSC-</v>
      </c>
      <c r="P248" s="5">
        <f t="shared" si="24"/>
        <v>3.2188758248682006</v>
      </c>
      <c r="Q248" s="5">
        <f t="shared" si="25"/>
        <v>3.0910424533583161</v>
      </c>
      <c r="R248" s="5">
        <f t="shared" si="25"/>
        <v>1.6094379124341003</v>
      </c>
      <c r="S248" s="5">
        <f t="shared" si="26"/>
        <v>0.16</v>
      </c>
      <c r="T248" s="3">
        <f t="shared" si="27"/>
        <v>0</v>
      </c>
      <c r="U248" s="3" t="s">
        <v>79</v>
      </c>
      <c r="V248" s="3">
        <v>2</v>
      </c>
      <c r="W248" s="6">
        <v>6.6</v>
      </c>
      <c r="X248" s="4">
        <v>7</v>
      </c>
      <c r="Y248" s="5">
        <v>0.1</v>
      </c>
      <c r="Z248" s="5">
        <v>1</v>
      </c>
      <c r="AA248" s="3" t="s">
        <v>108</v>
      </c>
      <c r="AB248" s="3">
        <v>1</v>
      </c>
      <c r="AC248" s="3" t="s">
        <v>81</v>
      </c>
      <c r="AD248" s="3">
        <v>0</v>
      </c>
      <c r="AE248" s="3" t="s">
        <v>98</v>
      </c>
      <c r="AF248" s="3">
        <v>0</v>
      </c>
      <c r="AG248" s="3" t="s">
        <v>82</v>
      </c>
      <c r="AH248" s="3">
        <v>1</v>
      </c>
      <c r="AI248" s="3">
        <v>4</v>
      </c>
      <c r="AJ248" s="3">
        <v>1</v>
      </c>
      <c r="AK248" s="3">
        <v>0</v>
      </c>
      <c r="AL248" s="3">
        <v>1</v>
      </c>
      <c r="AM248" s="3">
        <v>0</v>
      </c>
      <c r="AN248" s="3">
        <v>1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1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1</v>
      </c>
      <c r="BB248" s="3">
        <v>0</v>
      </c>
      <c r="BC248" s="3">
        <v>0</v>
      </c>
      <c r="BD248" s="3">
        <v>0</v>
      </c>
      <c r="BE248" s="3">
        <v>0</v>
      </c>
      <c r="BF248" s="3">
        <v>1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7" t="s">
        <v>730</v>
      </c>
      <c r="BX248" s="7" t="s">
        <v>731</v>
      </c>
    </row>
    <row r="249" spans="1:76">
      <c r="A249" s="3" t="s">
        <v>732</v>
      </c>
      <c r="B249" s="3">
        <v>3237</v>
      </c>
      <c r="C249" s="3" t="s">
        <v>733</v>
      </c>
      <c r="D249" s="3">
        <v>1</v>
      </c>
      <c r="E249" s="4">
        <v>60</v>
      </c>
      <c r="F249" s="3" t="s">
        <v>87</v>
      </c>
      <c r="G249" s="3">
        <v>0</v>
      </c>
      <c r="H249" s="3">
        <v>0</v>
      </c>
      <c r="I249" s="4">
        <v>0</v>
      </c>
      <c r="J249" s="4">
        <v>1</v>
      </c>
      <c r="K249" s="4">
        <v>1</v>
      </c>
      <c r="L249" s="5">
        <f>IF(F249="F",65.79,IF(F249="M",79.94,""))</f>
        <v>65.790000000000006</v>
      </c>
      <c r="M249" s="3">
        <f t="shared" si="21"/>
        <v>0</v>
      </c>
      <c r="N249" s="3" t="str">
        <f t="shared" si="22"/>
        <v>VSC-non-halitosis</v>
      </c>
      <c r="O249" s="3" t="str">
        <f t="shared" si="23"/>
        <v>Clinical- / VSC-</v>
      </c>
      <c r="P249" s="5">
        <f t="shared" si="24"/>
        <v>0</v>
      </c>
      <c r="Q249" s="5">
        <f t="shared" si="25"/>
        <v>0</v>
      </c>
      <c r="R249" s="5">
        <f t="shared" si="25"/>
        <v>0.69314718055994529</v>
      </c>
      <c r="S249" s="5">
        <f t="shared" si="26"/>
        <v>1</v>
      </c>
      <c r="T249" s="3">
        <f t="shared" si="27"/>
        <v>1</v>
      </c>
      <c r="U249" s="3" t="s">
        <v>102</v>
      </c>
      <c r="V249" s="3">
        <v>1</v>
      </c>
      <c r="W249" s="6">
        <v>6.5</v>
      </c>
      <c r="X249" s="4">
        <v>4</v>
      </c>
      <c r="Y249" s="5">
        <v>0.2</v>
      </c>
      <c r="Z249" s="5">
        <v>1.3</v>
      </c>
      <c r="AA249" s="3" t="s">
        <v>80</v>
      </c>
      <c r="AB249" s="3">
        <v>0</v>
      </c>
      <c r="AC249" s="3" t="s">
        <v>81</v>
      </c>
      <c r="AD249" s="3">
        <v>0</v>
      </c>
      <c r="AE249" s="3" t="s">
        <v>82</v>
      </c>
      <c r="AF249" s="3">
        <v>1</v>
      </c>
      <c r="AG249" s="3" t="s">
        <v>98</v>
      </c>
      <c r="AH249" s="3">
        <v>0</v>
      </c>
      <c r="AI249" s="3">
        <v>2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1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1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7" t="s">
        <v>734</v>
      </c>
      <c r="BX249" s="7" t="s">
        <v>735</v>
      </c>
    </row>
    <row r="250" spans="1:76">
      <c r="A250" s="3" t="s">
        <v>736</v>
      </c>
      <c r="B250" s="3">
        <v>4004</v>
      </c>
      <c r="C250" s="3" t="s">
        <v>737</v>
      </c>
      <c r="D250" s="3">
        <v>1</v>
      </c>
      <c r="E250" s="4">
        <v>62</v>
      </c>
      <c r="F250" s="3" t="s">
        <v>87</v>
      </c>
      <c r="G250" s="3">
        <v>0</v>
      </c>
      <c r="H250" s="3">
        <v>0</v>
      </c>
      <c r="I250" s="4">
        <v>39</v>
      </c>
      <c r="J250" s="4">
        <v>26</v>
      </c>
      <c r="K250" s="4">
        <v>65</v>
      </c>
      <c r="L250" s="5">
        <f>IF(F250="F",65.79,IF(F250="M",79.94,""))</f>
        <v>65.790000000000006</v>
      </c>
      <c r="M250" s="3">
        <f t="shared" si="21"/>
        <v>0</v>
      </c>
      <c r="N250" s="3" t="str">
        <f t="shared" si="22"/>
        <v>VSC-non-halitosis</v>
      </c>
      <c r="O250" s="3" t="str">
        <f t="shared" si="23"/>
        <v>Clinical- / VSC-</v>
      </c>
      <c r="P250" s="5">
        <f t="shared" si="24"/>
        <v>4.1743872698956368</v>
      </c>
      <c r="Q250" s="5">
        <f t="shared" si="25"/>
        <v>3.6888794541139363</v>
      </c>
      <c r="R250" s="5">
        <f t="shared" si="25"/>
        <v>3.2958368660043291</v>
      </c>
      <c r="S250" s="5">
        <f t="shared" si="26"/>
        <v>0.4</v>
      </c>
      <c r="T250" s="3">
        <f t="shared" si="27"/>
        <v>0</v>
      </c>
      <c r="U250" s="3" t="s">
        <v>96</v>
      </c>
      <c r="V250" s="3">
        <v>3</v>
      </c>
      <c r="W250" s="6">
        <v>6.2</v>
      </c>
      <c r="X250" s="4">
        <v>12</v>
      </c>
      <c r="Y250" s="5">
        <v>0.25</v>
      </c>
      <c r="Z250" s="5">
        <v>1.5</v>
      </c>
      <c r="AA250" s="3" t="s">
        <v>80</v>
      </c>
      <c r="AB250" s="3">
        <v>0</v>
      </c>
      <c r="AC250" s="3" t="s">
        <v>81</v>
      </c>
      <c r="AD250" s="3">
        <v>0</v>
      </c>
      <c r="AE250" s="3" t="s">
        <v>82</v>
      </c>
      <c r="AF250" s="3">
        <v>1</v>
      </c>
      <c r="AG250" s="3" t="s">
        <v>82</v>
      </c>
      <c r="AH250" s="3">
        <v>1</v>
      </c>
      <c r="AI250" s="3">
        <v>1</v>
      </c>
      <c r="AJ250" s="3">
        <v>2</v>
      </c>
      <c r="AK250" s="3">
        <v>0</v>
      </c>
      <c r="AL250" s="3">
        <v>1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1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1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7" t="s">
        <v>186</v>
      </c>
      <c r="BX250" s="7" t="s">
        <v>738</v>
      </c>
    </row>
    <row r="251" spans="1:76">
      <c r="A251" s="3" t="s">
        <v>739</v>
      </c>
      <c r="B251" s="3">
        <v>2913</v>
      </c>
      <c r="C251" s="3" t="s">
        <v>740</v>
      </c>
      <c r="D251" s="3">
        <v>1</v>
      </c>
      <c r="E251" s="4">
        <v>56</v>
      </c>
      <c r="F251" s="3" t="s">
        <v>87</v>
      </c>
      <c r="G251" s="3">
        <v>0</v>
      </c>
      <c r="H251" s="3">
        <v>0</v>
      </c>
      <c r="I251" s="4">
        <v>189</v>
      </c>
      <c r="J251" s="4">
        <v>24</v>
      </c>
      <c r="K251" s="4">
        <v>213</v>
      </c>
      <c r="L251" s="5">
        <f>IF(F251="F",65.79,IF(F251="M",79.94,""))</f>
        <v>65.790000000000006</v>
      </c>
      <c r="M251" s="3">
        <f t="shared" si="21"/>
        <v>1</v>
      </c>
      <c r="N251" s="3" t="str">
        <f t="shared" si="22"/>
        <v>VSC-halitosis</v>
      </c>
      <c r="O251" s="3" t="str">
        <f t="shared" si="23"/>
        <v>Clinical- / VSC+</v>
      </c>
      <c r="P251" s="5">
        <f t="shared" si="24"/>
        <v>5.3612921657094255</v>
      </c>
      <c r="Q251" s="5">
        <f t="shared" si="25"/>
        <v>5.2470240721604862</v>
      </c>
      <c r="R251" s="5">
        <f t="shared" si="25"/>
        <v>3.2188758248682006</v>
      </c>
      <c r="S251" s="5">
        <f t="shared" si="26"/>
        <v>0.11267605633802817</v>
      </c>
      <c r="T251" s="3">
        <f t="shared" si="27"/>
        <v>0</v>
      </c>
      <c r="U251" s="3" t="s">
        <v>96</v>
      </c>
      <c r="V251" s="3">
        <v>3</v>
      </c>
      <c r="W251" s="6">
        <v>6.4</v>
      </c>
      <c r="X251" s="4">
        <v>11</v>
      </c>
      <c r="Y251" s="5">
        <v>0.3</v>
      </c>
      <c r="Z251" s="5">
        <v>1.2</v>
      </c>
      <c r="AA251" s="3" t="s">
        <v>80</v>
      </c>
      <c r="AB251" s="3">
        <v>0</v>
      </c>
      <c r="AC251" s="3" t="s">
        <v>81</v>
      </c>
      <c r="AD251" s="3">
        <v>0</v>
      </c>
      <c r="AE251" s="3" t="s">
        <v>98</v>
      </c>
      <c r="AF251" s="3">
        <v>0</v>
      </c>
      <c r="AG251" s="3" t="s">
        <v>108</v>
      </c>
      <c r="AH251" s="3">
        <v>1</v>
      </c>
      <c r="AI251" s="3">
        <v>1</v>
      </c>
      <c r="AJ251" s="3">
        <v>1</v>
      </c>
      <c r="AK251" s="3">
        <v>0</v>
      </c>
      <c r="AL251" s="3">
        <v>0</v>
      </c>
      <c r="AM251" s="3">
        <v>0</v>
      </c>
      <c r="AN251" s="3">
        <v>1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1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7" t="s">
        <v>119</v>
      </c>
      <c r="BX251" s="7" t="s">
        <v>337</v>
      </c>
    </row>
    <row r="252" spans="1:76" ht="34">
      <c r="A252" s="3" t="s">
        <v>741</v>
      </c>
      <c r="B252" s="3">
        <v>5977</v>
      </c>
      <c r="C252" s="3" t="s">
        <v>742</v>
      </c>
      <c r="D252" s="3">
        <v>1</v>
      </c>
      <c r="E252" s="4">
        <v>60</v>
      </c>
      <c r="F252" s="3" t="s">
        <v>78</v>
      </c>
      <c r="G252" s="3">
        <v>0</v>
      </c>
      <c r="H252" s="3">
        <v>0</v>
      </c>
      <c r="I252" s="4">
        <v>14</v>
      </c>
      <c r="J252" s="4">
        <v>3</v>
      </c>
      <c r="K252" s="4">
        <v>17</v>
      </c>
      <c r="L252" s="5">
        <f>IF(F252="F",65.79,IF(F252="M",79.94,""))</f>
        <v>79.94</v>
      </c>
      <c r="M252" s="3">
        <f t="shared" si="21"/>
        <v>0</v>
      </c>
      <c r="N252" s="3" t="str">
        <f t="shared" si="22"/>
        <v>VSC-non-halitosis</v>
      </c>
      <c r="O252" s="3" t="str">
        <f t="shared" si="23"/>
        <v>Clinical- / VSC-</v>
      </c>
      <c r="P252" s="5">
        <f t="shared" si="24"/>
        <v>2.8332133440562162</v>
      </c>
      <c r="Q252" s="5">
        <f t="shared" si="25"/>
        <v>2.7080502011022101</v>
      </c>
      <c r="R252" s="5">
        <f t="shared" si="25"/>
        <v>1.3862943611198906</v>
      </c>
      <c r="S252" s="5">
        <f t="shared" si="26"/>
        <v>0.17647058823529413</v>
      </c>
      <c r="T252" s="3">
        <f t="shared" si="27"/>
        <v>0</v>
      </c>
      <c r="U252" s="3" t="s">
        <v>79</v>
      </c>
      <c r="V252" s="3">
        <v>2</v>
      </c>
      <c r="W252" s="6">
        <v>7</v>
      </c>
      <c r="X252" s="4">
        <v>12</v>
      </c>
      <c r="Y252" s="5">
        <v>1.2</v>
      </c>
      <c r="Z252" s="5">
        <v>2</v>
      </c>
      <c r="AA252" s="3" t="s">
        <v>97</v>
      </c>
      <c r="AB252" s="3">
        <v>0</v>
      </c>
      <c r="AC252" s="3" t="s">
        <v>81</v>
      </c>
      <c r="AD252" s="3">
        <v>0</v>
      </c>
      <c r="AE252" s="3" t="s">
        <v>82</v>
      </c>
      <c r="AF252" s="3">
        <v>1</v>
      </c>
      <c r="AG252" s="3" t="s">
        <v>103</v>
      </c>
      <c r="AH252" s="3">
        <v>1</v>
      </c>
      <c r="AI252" s="3">
        <v>3</v>
      </c>
      <c r="AJ252" s="3">
        <v>1</v>
      </c>
      <c r="AK252" s="3">
        <v>1</v>
      </c>
      <c r="AL252" s="3">
        <v>1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1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1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1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7" t="s">
        <v>743</v>
      </c>
      <c r="BX252" s="7" t="s">
        <v>744</v>
      </c>
    </row>
    <row r="253" spans="1:76">
      <c r="A253" s="3" t="s">
        <v>745</v>
      </c>
      <c r="B253" s="3">
        <v>3285</v>
      </c>
      <c r="C253" s="3" t="s">
        <v>746</v>
      </c>
      <c r="D253" s="3">
        <v>1</v>
      </c>
      <c r="E253" s="4">
        <v>56</v>
      </c>
      <c r="F253" s="3" t="s">
        <v>78</v>
      </c>
      <c r="G253" s="3">
        <v>0</v>
      </c>
      <c r="H253" s="3">
        <v>0</v>
      </c>
      <c r="I253" s="4">
        <v>0</v>
      </c>
      <c r="J253" s="4">
        <v>1</v>
      </c>
      <c r="K253" s="4">
        <v>1</v>
      </c>
      <c r="L253" s="5">
        <f>IF(F253="F",65.79,IF(F253="M",79.94,""))</f>
        <v>79.94</v>
      </c>
      <c r="M253" s="3">
        <f t="shared" si="21"/>
        <v>0</v>
      </c>
      <c r="N253" s="3" t="str">
        <f t="shared" si="22"/>
        <v>VSC-non-halitosis</v>
      </c>
      <c r="O253" s="3" t="str">
        <f t="shared" si="23"/>
        <v>Clinical- / VSC-</v>
      </c>
      <c r="P253" s="5">
        <f t="shared" si="24"/>
        <v>0</v>
      </c>
      <c r="Q253" s="5">
        <f t="shared" si="25"/>
        <v>0</v>
      </c>
      <c r="R253" s="5">
        <f t="shared" si="25"/>
        <v>0.69314718055994529</v>
      </c>
      <c r="S253" s="5">
        <f t="shared" si="26"/>
        <v>1</v>
      </c>
      <c r="T253" s="3">
        <f t="shared" si="27"/>
        <v>1</v>
      </c>
      <c r="U253" s="3" t="s">
        <v>102</v>
      </c>
      <c r="V253" s="3">
        <v>1</v>
      </c>
      <c r="W253" s="6">
        <v>6.2</v>
      </c>
      <c r="X253" s="4">
        <v>12</v>
      </c>
      <c r="Y253" s="5">
        <v>0.6</v>
      </c>
      <c r="Z253" s="5">
        <v>2</v>
      </c>
      <c r="AA253" s="3" t="s">
        <v>80</v>
      </c>
      <c r="AB253" s="3">
        <v>0</v>
      </c>
      <c r="AC253" s="3" t="s">
        <v>89</v>
      </c>
      <c r="AD253" s="3">
        <v>1</v>
      </c>
      <c r="AE253" s="3" t="s">
        <v>98</v>
      </c>
      <c r="AF253" s="3">
        <v>0</v>
      </c>
      <c r="AG253" s="3" t="s">
        <v>103</v>
      </c>
      <c r="AH253" s="3">
        <v>1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7" t="s">
        <v>747</v>
      </c>
      <c r="BX253" s="7" t="s">
        <v>119</v>
      </c>
    </row>
    <row r="254" spans="1:76">
      <c r="A254" s="3" t="s">
        <v>748</v>
      </c>
      <c r="B254" s="3">
        <v>5738</v>
      </c>
      <c r="C254" s="3" t="s">
        <v>749</v>
      </c>
      <c r="D254" s="3">
        <v>1</v>
      </c>
      <c r="E254" s="4">
        <v>55</v>
      </c>
      <c r="F254" s="3" t="s">
        <v>87</v>
      </c>
      <c r="G254" s="3">
        <v>1</v>
      </c>
      <c r="H254" s="3">
        <v>0</v>
      </c>
      <c r="I254" s="4">
        <v>2</v>
      </c>
      <c r="J254" s="4">
        <v>0</v>
      </c>
      <c r="K254" s="4">
        <v>2</v>
      </c>
      <c r="L254" s="5">
        <f>IF(F254="F",65.79,IF(F254="M",79.94,""))</f>
        <v>65.790000000000006</v>
      </c>
      <c r="M254" s="3">
        <f t="shared" si="21"/>
        <v>0</v>
      </c>
      <c r="N254" s="3" t="str">
        <f t="shared" si="22"/>
        <v>VSC-non-halitosis</v>
      </c>
      <c r="O254" s="3" t="str">
        <f t="shared" si="23"/>
        <v>Clinical+ / VSC-</v>
      </c>
      <c r="P254" s="5">
        <f t="shared" si="24"/>
        <v>0.69314718055994529</v>
      </c>
      <c r="Q254" s="5">
        <f t="shared" si="25"/>
        <v>1.0986122886681098</v>
      </c>
      <c r="R254" s="5">
        <f t="shared" si="25"/>
        <v>0</v>
      </c>
      <c r="S254" s="5">
        <f t="shared" si="26"/>
        <v>0</v>
      </c>
      <c r="T254" s="3">
        <f t="shared" si="27"/>
        <v>0</v>
      </c>
      <c r="U254" s="3" t="s">
        <v>102</v>
      </c>
      <c r="V254" s="3">
        <v>1</v>
      </c>
      <c r="W254" s="6">
        <v>6.4</v>
      </c>
      <c r="X254" s="4">
        <v>12</v>
      </c>
      <c r="Y254" s="5">
        <v>0.5</v>
      </c>
      <c r="Z254" s="5">
        <v>1</v>
      </c>
      <c r="AA254" s="3" t="s">
        <v>80</v>
      </c>
      <c r="AB254" s="3">
        <v>0</v>
      </c>
      <c r="AC254" s="3" t="s">
        <v>113</v>
      </c>
      <c r="AD254" s="3">
        <v>0</v>
      </c>
      <c r="AE254" s="3" t="s">
        <v>98</v>
      </c>
      <c r="AF254" s="3">
        <v>0</v>
      </c>
      <c r="AG254" s="3" t="s">
        <v>82</v>
      </c>
      <c r="AH254" s="3">
        <v>1</v>
      </c>
      <c r="AI254" s="3">
        <v>1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1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7" t="s">
        <v>750</v>
      </c>
      <c r="BX254" s="7" t="s">
        <v>751</v>
      </c>
    </row>
    <row r="255" spans="1:76">
      <c r="A255" s="3" t="s">
        <v>752</v>
      </c>
      <c r="B255" s="3">
        <v>6154</v>
      </c>
      <c r="C255" s="3" t="s">
        <v>753</v>
      </c>
      <c r="D255" s="3">
        <v>1</v>
      </c>
      <c r="E255" s="4">
        <v>56</v>
      </c>
      <c r="F255" s="3" t="s">
        <v>87</v>
      </c>
      <c r="G255" s="3">
        <v>0</v>
      </c>
      <c r="H255" s="3">
        <v>1</v>
      </c>
      <c r="I255" s="4">
        <v>0</v>
      </c>
      <c r="J255" s="4">
        <v>1</v>
      </c>
      <c r="K255" s="4">
        <v>1</v>
      </c>
      <c r="L255" s="5">
        <f>IF(F255="F",65.79,IF(F255="M",79.94,""))</f>
        <v>65.790000000000006</v>
      </c>
      <c r="M255" s="3">
        <f t="shared" si="21"/>
        <v>0</v>
      </c>
      <c r="N255" s="3" t="str">
        <f t="shared" si="22"/>
        <v>VSC-non-halitosis</v>
      </c>
      <c r="O255" s="3" t="str">
        <f t="shared" si="23"/>
        <v>Clinical- / VSC-</v>
      </c>
      <c r="P255" s="5">
        <f t="shared" si="24"/>
        <v>0</v>
      </c>
      <c r="Q255" s="5">
        <f t="shared" si="25"/>
        <v>0</v>
      </c>
      <c r="R255" s="5">
        <f t="shared" si="25"/>
        <v>0.69314718055994529</v>
      </c>
      <c r="S255" s="5">
        <f t="shared" si="26"/>
        <v>1</v>
      </c>
      <c r="T255" s="3">
        <f t="shared" si="27"/>
        <v>1</v>
      </c>
      <c r="U255" s="3" t="s">
        <v>102</v>
      </c>
      <c r="V255" s="3">
        <v>1</v>
      </c>
      <c r="W255" s="6">
        <v>5.2</v>
      </c>
      <c r="X255" s="4">
        <v>6</v>
      </c>
      <c r="Y255" s="5">
        <v>0.05</v>
      </c>
      <c r="Z255" s="5">
        <v>0.6</v>
      </c>
      <c r="AA255" s="3" t="s">
        <v>80</v>
      </c>
      <c r="AB255" s="3">
        <v>0</v>
      </c>
      <c r="AC255" s="3" t="s">
        <v>81</v>
      </c>
      <c r="AD255" s="3">
        <v>0</v>
      </c>
      <c r="AE255" s="3" t="s">
        <v>98</v>
      </c>
      <c r="AF255" s="3">
        <v>0</v>
      </c>
      <c r="AG255" s="3" t="s">
        <v>98</v>
      </c>
      <c r="AH255" s="3">
        <v>0</v>
      </c>
      <c r="AI255" s="3">
        <v>3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1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1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1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7" t="s">
        <v>492</v>
      </c>
      <c r="BX255" s="7" t="s">
        <v>754</v>
      </c>
    </row>
    <row r="256" spans="1:76">
      <c r="A256" s="3" t="s">
        <v>755</v>
      </c>
      <c r="B256" s="3">
        <v>3257</v>
      </c>
      <c r="C256" s="3" t="s">
        <v>756</v>
      </c>
      <c r="D256" s="3">
        <v>1</v>
      </c>
      <c r="E256" s="4">
        <v>52</v>
      </c>
      <c r="F256" s="3" t="s">
        <v>87</v>
      </c>
      <c r="G256" s="3">
        <v>0</v>
      </c>
      <c r="H256" s="3">
        <v>1</v>
      </c>
      <c r="I256" s="4">
        <v>99</v>
      </c>
      <c r="J256" s="4">
        <v>8</v>
      </c>
      <c r="K256" s="4">
        <v>107</v>
      </c>
      <c r="L256" s="5">
        <f>IF(F256="F",65.79,IF(F256="M",79.94,""))</f>
        <v>65.790000000000006</v>
      </c>
      <c r="M256" s="3">
        <f t="shared" si="21"/>
        <v>1</v>
      </c>
      <c r="N256" s="3" t="str">
        <f t="shared" si="22"/>
        <v>VSC-halitosis</v>
      </c>
      <c r="O256" s="3" t="str">
        <f t="shared" si="23"/>
        <v>Clinical- / VSC+</v>
      </c>
      <c r="P256" s="5">
        <f t="shared" si="24"/>
        <v>4.6728288344619058</v>
      </c>
      <c r="Q256" s="5">
        <f t="shared" si="25"/>
        <v>4.6051701859880918</v>
      </c>
      <c r="R256" s="5">
        <f t="shared" si="25"/>
        <v>2.1972245773362196</v>
      </c>
      <c r="S256" s="5">
        <f t="shared" si="26"/>
        <v>7.476635514018691E-2</v>
      </c>
      <c r="T256" s="3">
        <f t="shared" si="27"/>
        <v>0</v>
      </c>
      <c r="U256" s="3" t="s">
        <v>96</v>
      </c>
      <c r="V256" s="3">
        <v>3</v>
      </c>
      <c r="W256" s="6">
        <v>6.4</v>
      </c>
      <c r="X256" s="4">
        <v>11</v>
      </c>
      <c r="Y256" s="5">
        <v>0.7</v>
      </c>
      <c r="Z256" s="5">
        <v>2.5</v>
      </c>
      <c r="AA256" s="3" t="s">
        <v>80</v>
      </c>
      <c r="AB256" s="3">
        <v>0</v>
      </c>
      <c r="AC256" s="3" t="s">
        <v>113</v>
      </c>
      <c r="AD256" s="3">
        <v>0</v>
      </c>
      <c r="AE256" s="3" t="s">
        <v>98</v>
      </c>
      <c r="AF256" s="3">
        <v>0</v>
      </c>
      <c r="AG256" s="3" t="s">
        <v>98</v>
      </c>
      <c r="AH256" s="3">
        <v>0</v>
      </c>
      <c r="AI256" s="3">
        <v>3</v>
      </c>
      <c r="AJ256" s="3">
        <v>2</v>
      </c>
      <c r="AK256" s="3">
        <v>0</v>
      </c>
      <c r="AL256" s="3">
        <v>1</v>
      </c>
      <c r="AM256" s="3">
        <v>0</v>
      </c>
      <c r="AN256" s="3">
        <v>1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1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1</v>
      </c>
      <c r="BG256" s="3">
        <v>0</v>
      </c>
      <c r="BH256" s="3">
        <v>0</v>
      </c>
      <c r="BI256" s="3">
        <v>1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7" t="s">
        <v>186</v>
      </c>
      <c r="BX256" s="7" t="s">
        <v>757</v>
      </c>
    </row>
    <row r="257" spans="1:76">
      <c r="A257" s="3" t="s">
        <v>758</v>
      </c>
      <c r="B257" s="3">
        <v>3281</v>
      </c>
      <c r="C257" s="3" t="s">
        <v>759</v>
      </c>
      <c r="D257" s="3">
        <v>3</v>
      </c>
      <c r="E257" s="4">
        <v>51</v>
      </c>
      <c r="F257" s="3" t="s">
        <v>87</v>
      </c>
      <c r="G257" s="3">
        <v>1</v>
      </c>
      <c r="H257" s="3">
        <v>0</v>
      </c>
      <c r="I257" s="4">
        <v>1</v>
      </c>
      <c r="J257" s="4">
        <v>0</v>
      </c>
      <c r="K257" s="4">
        <v>1</v>
      </c>
      <c r="L257" s="5">
        <f>IF(F257="F",65.79,IF(F257="M",79.94,""))</f>
        <v>65.790000000000006</v>
      </c>
      <c r="M257" s="3">
        <f t="shared" si="21"/>
        <v>0</v>
      </c>
      <c r="N257" s="3" t="str">
        <f t="shared" si="22"/>
        <v>VSC-non-halitosis</v>
      </c>
      <c r="O257" s="3" t="str">
        <f t="shared" si="23"/>
        <v>Clinical+ / VSC-</v>
      </c>
      <c r="P257" s="5">
        <f t="shared" si="24"/>
        <v>0</v>
      </c>
      <c r="Q257" s="5">
        <f t="shared" si="25"/>
        <v>0.69314718055994529</v>
      </c>
      <c r="R257" s="5">
        <f t="shared" si="25"/>
        <v>0</v>
      </c>
      <c r="S257" s="5">
        <f t="shared" si="26"/>
        <v>0</v>
      </c>
      <c r="T257" s="3">
        <f t="shared" si="27"/>
        <v>0</v>
      </c>
      <c r="U257" s="3" t="s">
        <v>102</v>
      </c>
      <c r="V257" s="3">
        <v>1</v>
      </c>
      <c r="W257" s="6">
        <v>6</v>
      </c>
      <c r="X257" s="4">
        <v>10</v>
      </c>
      <c r="Y257" s="5">
        <v>0.5</v>
      </c>
      <c r="Z257" s="5">
        <v>2.4</v>
      </c>
      <c r="AA257" s="3" t="s">
        <v>80</v>
      </c>
      <c r="AB257" s="3">
        <v>0</v>
      </c>
      <c r="AC257" s="3" t="s">
        <v>81</v>
      </c>
      <c r="AD257" s="3">
        <v>0</v>
      </c>
      <c r="AE257" s="3" t="s">
        <v>82</v>
      </c>
      <c r="AF257" s="3">
        <v>1</v>
      </c>
      <c r="AG257" s="3" t="s">
        <v>82</v>
      </c>
      <c r="AH257" s="3">
        <v>1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7" t="s">
        <v>119</v>
      </c>
      <c r="BX257" s="7" t="s">
        <v>119</v>
      </c>
    </row>
    <row r="258" spans="1:76">
      <c r="A258" s="3" t="s">
        <v>760</v>
      </c>
      <c r="B258" s="3">
        <v>3281</v>
      </c>
      <c r="C258" s="3" t="s">
        <v>759</v>
      </c>
      <c r="D258" s="3">
        <v>3</v>
      </c>
      <c r="E258" s="4">
        <v>51</v>
      </c>
      <c r="F258" s="3" t="s">
        <v>87</v>
      </c>
      <c r="G258" s="3">
        <v>1</v>
      </c>
      <c r="H258" s="3">
        <v>0</v>
      </c>
      <c r="I258" s="4">
        <v>0</v>
      </c>
      <c r="J258" s="4">
        <v>1</v>
      </c>
      <c r="K258" s="4">
        <v>1</v>
      </c>
      <c r="L258" s="5">
        <f>IF(F258="F",65.79,IF(F258="M",79.94,""))</f>
        <v>65.790000000000006</v>
      </c>
      <c r="M258" s="3">
        <f t="shared" ref="M258:M321" si="28">IF(AND(ISNUMBER(K258),ISNUMBER(L258),K258&gt;=L258),1,0)</f>
        <v>0</v>
      </c>
      <c r="N258" s="3" t="str">
        <f t="shared" ref="N258:N321" si="29">IF(M258=1,"VSC-halitosis","VSC-non-halitosis")</f>
        <v>VSC-non-halitosis</v>
      </c>
      <c r="O258" s="3" t="str">
        <f t="shared" ref="O258:O321" si="30">IF(AND(G258=1,M258=1),"Clinical+ / VSC+",IF(AND(G258=1,M258=0),"Clinical+ / VSC-",IF(AND(G258=0,M258=1),"Clinical- / VSC+","Clinical- / VSC-")))</f>
        <v>Clinical+ / VSC-</v>
      </c>
      <c r="P258" s="5">
        <f t="shared" ref="P258:P321" si="31">IF(K258&gt;0,LN(K258),"")</f>
        <v>0</v>
      </c>
      <c r="Q258" s="5">
        <f t="shared" ref="Q258:R321" si="32">IF(ISNUMBER(I258),LN(I258+1),"")</f>
        <v>0</v>
      </c>
      <c r="R258" s="5">
        <f t="shared" si="32"/>
        <v>0.69314718055994529</v>
      </c>
      <c r="S258" s="5">
        <f t="shared" ref="S258:S321" si="33">IF(K258&gt;0,J258/K258,"")</f>
        <v>1</v>
      </c>
      <c r="T258" s="3">
        <f t="shared" ref="T258:T321" si="34">IF(J258&gt;I258,1,0)</f>
        <v>1</v>
      </c>
      <c r="U258" s="3" t="s">
        <v>102</v>
      </c>
      <c r="V258" s="3">
        <v>1</v>
      </c>
      <c r="W258" s="6">
        <v>6</v>
      </c>
      <c r="X258" s="4">
        <v>10</v>
      </c>
      <c r="Y258" s="5">
        <v>0.5</v>
      </c>
      <c r="Z258" s="5">
        <v>2.4</v>
      </c>
      <c r="AA258" s="3" t="s">
        <v>80</v>
      </c>
      <c r="AB258" s="3">
        <v>0</v>
      </c>
      <c r="AC258" s="3" t="s">
        <v>81</v>
      </c>
      <c r="AD258" s="3">
        <v>0</v>
      </c>
      <c r="AE258" s="3" t="s">
        <v>82</v>
      </c>
      <c r="AF258" s="3">
        <v>1</v>
      </c>
      <c r="AG258" s="3" t="s">
        <v>82</v>
      </c>
      <c r="AH258" s="3">
        <v>1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7" t="s">
        <v>119</v>
      </c>
      <c r="BX258" s="7" t="s">
        <v>119</v>
      </c>
    </row>
    <row r="259" spans="1:76">
      <c r="A259" s="3" t="s">
        <v>761</v>
      </c>
      <c r="B259" s="3">
        <v>3281</v>
      </c>
      <c r="C259" s="3" t="s">
        <v>759</v>
      </c>
      <c r="D259" s="3">
        <v>3</v>
      </c>
      <c r="E259" s="4">
        <v>52</v>
      </c>
      <c r="F259" s="3" t="s">
        <v>87</v>
      </c>
      <c r="G259" s="3">
        <v>1</v>
      </c>
      <c r="H259" s="3">
        <v>0</v>
      </c>
      <c r="I259" s="4">
        <v>0</v>
      </c>
      <c r="J259" s="4">
        <v>1</v>
      </c>
      <c r="K259" s="4">
        <v>1</v>
      </c>
      <c r="L259" s="5">
        <f>IF(F259="F",65.79,IF(F259="M",79.94,""))</f>
        <v>65.790000000000006</v>
      </c>
      <c r="M259" s="3">
        <f t="shared" si="28"/>
        <v>0</v>
      </c>
      <c r="N259" s="3" t="str">
        <f t="shared" si="29"/>
        <v>VSC-non-halitosis</v>
      </c>
      <c r="O259" s="3" t="str">
        <f t="shared" si="30"/>
        <v>Clinical+ / VSC-</v>
      </c>
      <c r="P259" s="5">
        <f t="shared" si="31"/>
        <v>0</v>
      </c>
      <c r="Q259" s="5">
        <f t="shared" si="32"/>
        <v>0</v>
      </c>
      <c r="R259" s="5">
        <f t="shared" si="32"/>
        <v>0.69314718055994529</v>
      </c>
      <c r="S259" s="5">
        <f t="shared" si="33"/>
        <v>1</v>
      </c>
      <c r="T259" s="3">
        <f t="shared" si="34"/>
        <v>1</v>
      </c>
      <c r="U259" s="3" t="s">
        <v>102</v>
      </c>
      <c r="V259" s="3">
        <v>1</v>
      </c>
      <c r="W259" s="6">
        <v>6</v>
      </c>
      <c r="X259" s="4">
        <v>10</v>
      </c>
      <c r="Y259" s="5">
        <v>0.5</v>
      </c>
      <c r="Z259" s="5">
        <v>2.4</v>
      </c>
      <c r="AA259" s="3" t="s">
        <v>80</v>
      </c>
      <c r="AB259" s="3">
        <v>0</v>
      </c>
      <c r="AC259" s="3" t="s">
        <v>81</v>
      </c>
      <c r="AD259" s="3">
        <v>0</v>
      </c>
      <c r="AE259" s="3" t="s">
        <v>82</v>
      </c>
      <c r="AF259" s="3">
        <v>1</v>
      </c>
      <c r="AG259" s="3" t="s">
        <v>82</v>
      </c>
      <c r="AH259" s="3">
        <v>1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7" t="s">
        <v>119</v>
      </c>
      <c r="BX259" s="7" t="s">
        <v>119</v>
      </c>
    </row>
    <row r="260" spans="1:76">
      <c r="A260" s="3" t="s">
        <v>762</v>
      </c>
      <c r="B260" s="3">
        <v>3654</v>
      </c>
      <c r="C260" s="3" t="s">
        <v>763</v>
      </c>
      <c r="D260" s="3">
        <v>1</v>
      </c>
      <c r="E260" s="4">
        <v>52</v>
      </c>
      <c r="F260" s="3" t="s">
        <v>87</v>
      </c>
      <c r="G260" s="3">
        <v>1</v>
      </c>
      <c r="H260" s="3">
        <v>0</v>
      </c>
      <c r="I260" s="4">
        <v>0</v>
      </c>
      <c r="J260" s="4">
        <v>1</v>
      </c>
      <c r="K260" s="4">
        <v>1</v>
      </c>
      <c r="L260" s="5">
        <f>IF(F260="F",65.79,IF(F260="M",79.94,""))</f>
        <v>65.790000000000006</v>
      </c>
      <c r="M260" s="3">
        <f t="shared" si="28"/>
        <v>0</v>
      </c>
      <c r="N260" s="3" t="str">
        <f t="shared" si="29"/>
        <v>VSC-non-halitosis</v>
      </c>
      <c r="O260" s="3" t="str">
        <f t="shared" si="30"/>
        <v>Clinical+ / VSC-</v>
      </c>
      <c r="P260" s="5">
        <f t="shared" si="31"/>
        <v>0</v>
      </c>
      <c r="Q260" s="5">
        <f t="shared" si="32"/>
        <v>0</v>
      </c>
      <c r="R260" s="5">
        <f t="shared" si="32"/>
        <v>0.69314718055994529</v>
      </c>
      <c r="S260" s="5">
        <f t="shared" si="33"/>
        <v>1</v>
      </c>
      <c r="T260" s="3">
        <f t="shared" si="34"/>
        <v>1</v>
      </c>
      <c r="U260" s="3" t="s">
        <v>102</v>
      </c>
      <c r="V260" s="3">
        <v>1</v>
      </c>
      <c r="W260" s="6">
        <v>7.2</v>
      </c>
      <c r="X260" s="4">
        <v>12</v>
      </c>
      <c r="Y260" s="5">
        <v>0.4</v>
      </c>
      <c r="Z260" s="5">
        <v>1</v>
      </c>
      <c r="AA260" s="3" t="s">
        <v>108</v>
      </c>
      <c r="AB260" s="3">
        <v>1</v>
      </c>
      <c r="AC260" s="3" t="s">
        <v>81</v>
      </c>
      <c r="AD260" s="3">
        <v>0</v>
      </c>
      <c r="AE260" s="3" t="s">
        <v>98</v>
      </c>
      <c r="AF260" s="3">
        <v>0</v>
      </c>
      <c r="AG260" s="3" t="s">
        <v>98</v>
      </c>
      <c r="AH260" s="3">
        <v>0</v>
      </c>
      <c r="AI260" s="3">
        <v>1</v>
      </c>
      <c r="AJ260" s="3">
        <v>1</v>
      </c>
      <c r="AK260" s="3">
        <v>0</v>
      </c>
      <c r="AL260" s="3">
        <v>0</v>
      </c>
      <c r="AM260" s="3">
        <v>0</v>
      </c>
      <c r="AN260" s="3">
        <v>1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1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7"/>
      <c r="BX260" s="7" t="s">
        <v>764</v>
      </c>
    </row>
    <row r="261" spans="1:76">
      <c r="A261" s="3" t="s">
        <v>765</v>
      </c>
      <c r="B261" s="3">
        <v>4479</v>
      </c>
      <c r="C261" s="3" t="s">
        <v>766</v>
      </c>
      <c r="D261" s="3">
        <v>1</v>
      </c>
      <c r="E261" s="4">
        <v>52</v>
      </c>
      <c r="F261" s="3" t="s">
        <v>87</v>
      </c>
      <c r="G261" s="3">
        <v>0</v>
      </c>
      <c r="H261" s="3">
        <v>0</v>
      </c>
      <c r="I261" s="4">
        <v>3</v>
      </c>
      <c r="J261" s="4">
        <v>0</v>
      </c>
      <c r="K261" s="4">
        <v>3</v>
      </c>
      <c r="L261" s="5">
        <f>IF(F261="F",65.79,IF(F261="M",79.94,""))</f>
        <v>65.790000000000006</v>
      </c>
      <c r="M261" s="3">
        <f t="shared" si="28"/>
        <v>0</v>
      </c>
      <c r="N261" s="3" t="str">
        <f t="shared" si="29"/>
        <v>VSC-non-halitosis</v>
      </c>
      <c r="O261" s="3" t="str">
        <f t="shared" si="30"/>
        <v>Clinical- / VSC-</v>
      </c>
      <c r="P261" s="5">
        <f t="shared" si="31"/>
        <v>1.0986122886681098</v>
      </c>
      <c r="Q261" s="5">
        <f t="shared" si="32"/>
        <v>1.3862943611198906</v>
      </c>
      <c r="R261" s="5">
        <f t="shared" si="32"/>
        <v>0</v>
      </c>
      <c r="S261" s="5">
        <f t="shared" si="33"/>
        <v>0</v>
      </c>
      <c r="T261" s="3">
        <f t="shared" si="34"/>
        <v>0</v>
      </c>
      <c r="U261" s="3" t="s">
        <v>102</v>
      </c>
      <c r="V261" s="3">
        <v>1</v>
      </c>
      <c r="W261" s="6">
        <v>7.6</v>
      </c>
      <c r="X261" s="4">
        <v>10</v>
      </c>
      <c r="Y261" s="5">
        <v>0.35</v>
      </c>
      <c r="Z261" s="5">
        <v>1.5</v>
      </c>
      <c r="AA261" s="3" t="s">
        <v>88</v>
      </c>
      <c r="AB261" s="3">
        <v>0</v>
      </c>
      <c r="AC261" s="3" t="s">
        <v>81</v>
      </c>
      <c r="AD261" s="3">
        <v>0</v>
      </c>
      <c r="AE261" s="3" t="s">
        <v>82</v>
      </c>
      <c r="AF261" s="3">
        <v>1</v>
      </c>
      <c r="AG261" s="3" t="s">
        <v>82</v>
      </c>
      <c r="AH261" s="3">
        <v>1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7" t="s">
        <v>119</v>
      </c>
      <c r="BX261" s="7"/>
    </row>
    <row r="262" spans="1:76">
      <c r="A262" s="3" t="s">
        <v>767</v>
      </c>
      <c r="B262" s="3">
        <v>3522</v>
      </c>
      <c r="C262" s="3" t="s">
        <v>768</v>
      </c>
      <c r="D262" s="3">
        <v>2</v>
      </c>
      <c r="E262" s="4">
        <v>45</v>
      </c>
      <c r="F262" s="3" t="s">
        <v>78</v>
      </c>
      <c r="G262" s="3">
        <v>0</v>
      </c>
      <c r="H262" s="3">
        <v>0</v>
      </c>
      <c r="I262" s="4">
        <v>0</v>
      </c>
      <c r="J262" s="4">
        <v>1</v>
      </c>
      <c r="K262" s="4">
        <v>1</v>
      </c>
      <c r="L262" s="5">
        <f>IF(F262="F",65.79,IF(F262="M",79.94,""))</f>
        <v>79.94</v>
      </c>
      <c r="M262" s="3">
        <f t="shared" si="28"/>
        <v>0</v>
      </c>
      <c r="N262" s="3" t="str">
        <f t="shared" si="29"/>
        <v>VSC-non-halitosis</v>
      </c>
      <c r="O262" s="3" t="str">
        <f t="shared" si="30"/>
        <v>Clinical- / VSC-</v>
      </c>
      <c r="P262" s="5">
        <f t="shared" si="31"/>
        <v>0</v>
      </c>
      <c r="Q262" s="5">
        <f t="shared" si="32"/>
        <v>0</v>
      </c>
      <c r="R262" s="5">
        <f t="shared" si="32"/>
        <v>0.69314718055994529</v>
      </c>
      <c r="S262" s="5">
        <f t="shared" si="33"/>
        <v>1</v>
      </c>
      <c r="T262" s="3">
        <f t="shared" si="34"/>
        <v>1</v>
      </c>
      <c r="U262" s="3" t="s">
        <v>102</v>
      </c>
      <c r="V262" s="3">
        <v>1</v>
      </c>
      <c r="W262" s="6">
        <v>6.4</v>
      </c>
      <c r="X262" s="4">
        <v>10</v>
      </c>
      <c r="Y262" s="5">
        <v>0.3</v>
      </c>
      <c r="Z262" s="5">
        <v>0.6</v>
      </c>
      <c r="AA262" s="3" t="s">
        <v>108</v>
      </c>
      <c r="AB262" s="3">
        <v>1</v>
      </c>
      <c r="AC262" s="3" t="s">
        <v>81</v>
      </c>
      <c r="AD262" s="3">
        <v>0</v>
      </c>
      <c r="AE262" s="3" t="s">
        <v>98</v>
      </c>
      <c r="AF262" s="3">
        <v>0</v>
      </c>
      <c r="AG262" s="3" t="s">
        <v>82</v>
      </c>
      <c r="AH262" s="3">
        <v>1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7" t="s">
        <v>119</v>
      </c>
      <c r="BX262" s="7" t="s">
        <v>119</v>
      </c>
    </row>
    <row r="263" spans="1:76">
      <c r="A263" s="3" t="s">
        <v>769</v>
      </c>
      <c r="B263" s="3">
        <v>3522</v>
      </c>
      <c r="C263" s="3" t="s">
        <v>768</v>
      </c>
      <c r="D263" s="3">
        <v>2</v>
      </c>
      <c r="E263" s="4">
        <v>45</v>
      </c>
      <c r="F263" s="3" t="s">
        <v>78</v>
      </c>
      <c r="G263" s="3">
        <v>0</v>
      </c>
      <c r="H263" s="3">
        <v>0</v>
      </c>
      <c r="I263" s="4">
        <v>0</v>
      </c>
      <c r="J263" s="4">
        <v>1</v>
      </c>
      <c r="K263" s="4">
        <v>1</v>
      </c>
      <c r="L263" s="5">
        <f>IF(F263="F",65.79,IF(F263="M",79.94,""))</f>
        <v>79.94</v>
      </c>
      <c r="M263" s="3">
        <f t="shared" si="28"/>
        <v>0</v>
      </c>
      <c r="N263" s="3" t="str">
        <f t="shared" si="29"/>
        <v>VSC-non-halitosis</v>
      </c>
      <c r="O263" s="3" t="str">
        <f t="shared" si="30"/>
        <v>Clinical- / VSC-</v>
      </c>
      <c r="P263" s="5">
        <f t="shared" si="31"/>
        <v>0</v>
      </c>
      <c r="Q263" s="5">
        <f t="shared" si="32"/>
        <v>0</v>
      </c>
      <c r="R263" s="5">
        <f t="shared" si="32"/>
        <v>0.69314718055994529</v>
      </c>
      <c r="S263" s="5">
        <f t="shared" si="33"/>
        <v>1</v>
      </c>
      <c r="T263" s="3">
        <f t="shared" si="34"/>
        <v>1</v>
      </c>
      <c r="U263" s="3" t="s">
        <v>102</v>
      </c>
      <c r="V263" s="3">
        <v>1</v>
      </c>
      <c r="W263" s="6">
        <v>7.2</v>
      </c>
      <c r="X263" s="4">
        <v>10</v>
      </c>
      <c r="Y263" s="5">
        <v>0.4</v>
      </c>
      <c r="Z263" s="5">
        <v>1</v>
      </c>
      <c r="AA263" s="3" t="s">
        <v>108</v>
      </c>
      <c r="AB263" s="3">
        <v>1</v>
      </c>
      <c r="AC263" s="3" t="s">
        <v>81</v>
      </c>
      <c r="AD263" s="3">
        <v>0</v>
      </c>
      <c r="AE263" s="3" t="s">
        <v>98</v>
      </c>
      <c r="AF263" s="3">
        <v>0</v>
      </c>
      <c r="AG263" s="3" t="s">
        <v>82</v>
      </c>
      <c r="AH263" s="3">
        <v>1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7" t="s">
        <v>119</v>
      </c>
      <c r="BX263" s="7" t="s">
        <v>119</v>
      </c>
    </row>
    <row r="264" spans="1:76">
      <c r="A264" s="3" t="s">
        <v>770</v>
      </c>
      <c r="B264" s="3">
        <v>6277</v>
      </c>
      <c r="C264" s="3" t="s">
        <v>771</v>
      </c>
      <c r="D264" s="3">
        <v>1</v>
      </c>
      <c r="E264" s="4">
        <v>44</v>
      </c>
      <c r="F264" s="3" t="s">
        <v>87</v>
      </c>
      <c r="G264" s="3">
        <v>1</v>
      </c>
      <c r="H264" s="3">
        <v>0</v>
      </c>
      <c r="I264" s="4">
        <v>14</v>
      </c>
      <c r="J264" s="4">
        <v>2</v>
      </c>
      <c r="K264" s="4">
        <v>16</v>
      </c>
      <c r="L264" s="5">
        <f>IF(F264="F",65.79,IF(F264="M",79.94,""))</f>
        <v>65.790000000000006</v>
      </c>
      <c r="M264" s="3">
        <f t="shared" si="28"/>
        <v>0</v>
      </c>
      <c r="N264" s="3" t="str">
        <f t="shared" si="29"/>
        <v>VSC-non-halitosis</v>
      </c>
      <c r="O264" s="3" t="str">
        <f t="shared" si="30"/>
        <v>Clinical+ / VSC-</v>
      </c>
      <c r="P264" s="5">
        <f t="shared" si="31"/>
        <v>2.7725887222397811</v>
      </c>
      <c r="Q264" s="5">
        <f t="shared" si="32"/>
        <v>2.7080502011022101</v>
      </c>
      <c r="R264" s="5">
        <f t="shared" si="32"/>
        <v>1.0986122886681098</v>
      </c>
      <c r="S264" s="5">
        <f t="shared" si="33"/>
        <v>0.125</v>
      </c>
      <c r="T264" s="3">
        <f t="shared" si="34"/>
        <v>0</v>
      </c>
      <c r="U264" s="3" t="s">
        <v>79</v>
      </c>
      <c r="V264" s="3">
        <v>2</v>
      </c>
      <c r="W264" s="6">
        <v>6</v>
      </c>
      <c r="X264" s="4">
        <v>6</v>
      </c>
      <c r="Y264" s="5">
        <v>0.35</v>
      </c>
      <c r="Z264" s="5">
        <v>1.3</v>
      </c>
      <c r="AA264" s="3" t="s">
        <v>80</v>
      </c>
      <c r="AB264" s="3">
        <v>0</v>
      </c>
      <c r="AC264" s="3" t="s">
        <v>81</v>
      </c>
      <c r="AD264" s="3">
        <v>0</v>
      </c>
      <c r="AE264" s="3" t="s">
        <v>82</v>
      </c>
      <c r="AF264" s="3">
        <v>1</v>
      </c>
      <c r="AG264" s="3" t="s">
        <v>82</v>
      </c>
      <c r="AH264" s="3">
        <v>1</v>
      </c>
      <c r="AI264" s="3">
        <v>1</v>
      </c>
      <c r="AJ264" s="3">
        <v>1</v>
      </c>
      <c r="AK264" s="3">
        <v>0</v>
      </c>
      <c r="AL264" s="3">
        <v>0</v>
      </c>
      <c r="AM264" s="3">
        <v>0</v>
      </c>
      <c r="AN264" s="3">
        <v>1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1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7" t="s">
        <v>397</v>
      </c>
      <c r="BX264" s="7" t="s">
        <v>772</v>
      </c>
    </row>
    <row r="265" spans="1:76">
      <c r="A265" s="3" t="s">
        <v>773</v>
      </c>
      <c r="B265" s="3">
        <v>3787</v>
      </c>
      <c r="C265" s="3" t="s">
        <v>774</v>
      </c>
      <c r="D265" s="3">
        <v>1</v>
      </c>
      <c r="E265" s="4">
        <v>40</v>
      </c>
      <c r="F265" s="3" t="s">
        <v>87</v>
      </c>
      <c r="G265" s="3">
        <v>1</v>
      </c>
      <c r="H265" s="3">
        <v>0</v>
      </c>
      <c r="I265" s="4">
        <v>11</v>
      </c>
      <c r="J265" s="4">
        <v>2</v>
      </c>
      <c r="K265" s="4">
        <v>13</v>
      </c>
      <c r="L265" s="5">
        <f>IF(F265="F",65.79,IF(F265="M",79.94,""))</f>
        <v>65.790000000000006</v>
      </c>
      <c r="M265" s="3">
        <f t="shared" si="28"/>
        <v>0</v>
      </c>
      <c r="N265" s="3" t="str">
        <f t="shared" si="29"/>
        <v>VSC-non-halitosis</v>
      </c>
      <c r="O265" s="3" t="str">
        <f t="shared" si="30"/>
        <v>Clinical+ / VSC-</v>
      </c>
      <c r="P265" s="5">
        <f t="shared" si="31"/>
        <v>2.5649493574615367</v>
      </c>
      <c r="Q265" s="5">
        <f t="shared" si="32"/>
        <v>2.4849066497880004</v>
      </c>
      <c r="R265" s="5">
        <f t="shared" si="32"/>
        <v>1.0986122886681098</v>
      </c>
      <c r="S265" s="5">
        <f t="shared" si="33"/>
        <v>0.15384615384615385</v>
      </c>
      <c r="T265" s="3">
        <f t="shared" si="34"/>
        <v>0</v>
      </c>
      <c r="U265" s="3" t="s">
        <v>79</v>
      </c>
      <c r="V265" s="3">
        <v>2</v>
      </c>
      <c r="W265" s="6">
        <v>6.2</v>
      </c>
      <c r="X265" s="4">
        <v>7</v>
      </c>
      <c r="Y265" s="5">
        <v>0.3</v>
      </c>
      <c r="Z265" s="5">
        <v>0.6</v>
      </c>
      <c r="AA265" s="3" t="s">
        <v>108</v>
      </c>
      <c r="AB265" s="3">
        <v>1</v>
      </c>
      <c r="AC265" s="3" t="s">
        <v>113</v>
      </c>
      <c r="AD265" s="3">
        <v>0</v>
      </c>
      <c r="AE265" s="3" t="s">
        <v>98</v>
      </c>
      <c r="AF265" s="3">
        <v>0</v>
      </c>
      <c r="AG265" s="3" t="s">
        <v>98</v>
      </c>
      <c r="AH265" s="3">
        <v>0</v>
      </c>
      <c r="AI265" s="3">
        <v>1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1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7" t="s">
        <v>119</v>
      </c>
      <c r="BX265" s="7" t="s">
        <v>775</v>
      </c>
    </row>
    <row r="266" spans="1:76">
      <c r="A266" s="3" t="s">
        <v>776</v>
      </c>
      <c r="B266" s="3">
        <v>3752</v>
      </c>
      <c r="C266" s="3" t="s">
        <v>777</v>
      </c>
      <c r="D266" s="3">
        <v>1</v>
      </c>
      <c r="E266" s="4">
        <v>40</v>
      </c>
      <c r="F266" s="3" t="s">
        <v>87</v>
      </c>
      <c r="G266" s="3">
        <v>0</v>
      </c>
      <c r="H266" s="3">
        <v>0</v>
      </c>
      <c r="I266" s="4">
        <v>290</v>
      </c>
      <c r="J266" s="4">
        <v>65</v>
      </c>
      <c r="K266" s="4">
        <v>355</v>
      </c>
      <c r="L266" s="5">
        <f>IF(F266="F",65.79,IF(F266="M",79.94,""))</f>
        <v>65.790000000000006</v>
      </c>
      <c r="M266" s="3">
        <f t="shared" si="28"/>
        <v>1</v>
      </c>
      <c r="N266" s="3" t="str">
        <f t="shared" si="29"/>
        <v>VSC-halitosis</v>
      </c>
      <c r="O266" s="3" t="str">
        <f t="shared" si="30"/>
        <v>Clinical- / VSC+</v>
      </c>
      <c r="P266" s="5">
        <f t="shared" si="31"/>
        <v>5.872117789475416</v>
      </c>
      <c r="Q266" s="5">
        <f t="shared" si="32"/>
        <v>5.6733232671714928</v>
      </c>
      <c r="R266" s="5">
        <f t="shared" si="32"/>
        <v>4.1896547420264252</v>
      </c>
      <c r="S266" s="5">
        <f t="shared" si="33"/>
        <v>0.18309859154929578</v>
      </c>
      <c r="T266" s="3">
        <f t="shared" si="34"/>
        <v>0</v>
      </c>
      <c r="U266" s="3" t="s">
        <v>96</v>
      </c>
      <c r="V266" s="3">
        <v>3</v>
      </c>
      <c r="W266" s="6">
        <v>6.6</v>
      </c>
      <c r="X266" s="4">
        <v>10</v>
      </c>
      <c r="Y266" s="5">
        <v>0.5</v>
      </c>
      <c r="Z266" s="5">
        <v>2</v>
      </c>
      <c r="AA266" s="3" t="s">
        <v>80</v>
      </c>
      <c r="AB266" s="3">
        <v>0</v>
      </c>
      <c r="AC266" s="3" t="s">
        <v>113</v>
      </c>
      <c r="AD266" s="3">
        <v>0</v>
      </c>
      <c r="AE266" s="3" t="s">
        <v>98</v>
      </c>
      <c r="AF266" s="3">
        <v>0</v>
      </c>
      <c r="AG266" s="3" t="s">
        <v>98</v>
      </c>
      <c r="AH266" s="3">
        <v>0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1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7" t="s">
        <v>328</v>
      </c>
      <c r="BX266" s="7" t="s">
        <v>119</v>
      </c>
    </row>
    <row r="267" spans="1:76">
      <c r="A267" s="3" t="s">
        <v>778</v>
      </c>
      <c r="B267" s="3">
        <v>6140</v>
      </c>
      <c r="C267" s="3" t="s">
        <v>779</v>
      </c>
      <c r="D267" s="3">
        <v>1</v>
      </c>
      <c r="E267" s="4">
        <v>36</v>
      </c>
      <c r="F267" s="3" t="s">
        <v>78</v>
      </c>
      <c r="G267" s="3">
        <v>0</v>
      </c>
      <c r="H267" s="3">
        <v>0</v>
      </c>
      <c r="I267" s="4">
        <v>6</v>
      </c>
      <c r="J267" s="4">
        <v>0</v>
      </c>
      <c r="K267" s="4">
        <v>6</v>
      </c>
      <c r="L267" s="5">
        <f>IF(F267="F",65.79,IF(F267="M",79.94,""))</f>
        <v>79.94</v>
      </c>
      <c r="M267" s="3">
        <f t="shared" si="28"/>
        <v>0</v>
      </c>
      <c r="N267" s="3" t="str">
        <f t="shared" si="29"/>
        <v>VSC-non-halitosis</v>
      </c>
      <c r="O267" s="3" t="str">
        <f t="shared" si="30"/>
        <v>Clinical- / VSC-</v>
      </c>
      <c r="P267" s="5">
        <f t="shared" si="31"/>
        <v>1.791759469228055</v>
      </c>
      <c r="Q267" s="5">
        <f t="shared" si="32"/>
        <v>1.9459101490553132</v>
      </c>
      <c r="R267" s="5">
        <f t="shared" si="32"/>
        <v>0</v>
      </c>
      <c r="S267" s="5">
        <f t="shared" si="33"/>
        <v>0</v>
      </c>
      <c r="T267" s="3">
        <f t="shared" si="34"/>
        <v>0</v>
      </c>
      <c r="U267" s="3" t="s">
        <v>79</v>
      </c>
      <c r="V267" s="3">
        <v>2</v>
      </c>
      <c r="W267" s="6">
        <v>7.6</v>
      </c>
      <c r="X267" s="4">
        <v>9</v>
      </c>
      <c r="Y267" s="5">
        <v>0.7</v>
      </c>
      <c r="Z267" s="5">
        <v>2</v>
      </c>
      <c r="AA267" s="3" t="s">
        <v>80</v>
      </c>
      <c r="AB267" s="3">
        <v>0</v>
      </c>
      <c r="AC267" s="3" t="s">
        <v>81</v>
      </c>
      <c r="AD267" s="3">
        <v>0</v>
      </c>
      <c r="AE267" s="3" t="s">
        <v>91</v>
      </c>
      <c r="AF267" s="3">
        <v>1</v>
      </c>
      <c r="AG267" s="3" t="s">
        <v>427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7" t="s">
        <v>119</v>
      </c>
      <c r="BX267" s="7" t="s">
        <v>119</v>
      </c>
    </row>
    <row r="268" spans="1:76">
      <c r="A268" s="3" t="s">
        <v>780</v>
      </c>
      <c r="B268" s="3">
        <v>3298</v>
      </c>
      <c r="C268" s="3" t="s">
        <v>781</v>
      </c>
      <c r="D268" s="3">
        <v>4</v>
      </c>
      <c r="E268" s="4">
        <v>82</v>
      </c>
      <c r="F268" s="3" t="s">
        <v>87</v>
      </c>
      <c r="G268" s="3">
        <v>0</v>
      </c>
      <c r="H268" s="3">
        <v>0</v>
      </c>
      <c r="I268" s="4">
        <v>0</v>
      </c>
      <c r="J268" s="4">
        <v>1</v>
      </c>
      <c r="K268" s="4">
        <v>1</v>
      </c>
      <c r="L268" s="5">
        <f>IF(F268="F",65.79,IF(F268="M",79.94,""))</f>
        <v>65.790000000000006</v>
      </c>
      <c r="M268" s="3">
        <f t="shared" si="28"/>
        <v>0</v>
      </c>
      <c r="N268" s="3" t="str">
        <f t="shared" si="29"/>
        <v>VSC-non-halitosis</v>
      </c>
      <c r="O268" s="3" t="str">
        <f t="shared" si="30"/>
        <v>Clinical- / VSC-</v>
      </c>
      <c r="P268" s="5">
        <f t="shared" si="31"/>
        <v>0</v>
      </c>
      <c r="Q268" s="5">
        <f t="shared" si="32"/>
        <v>0</v>
      </c>
      <c r="R268" s="5">
        <f t="shared" si="32"/>
        <v>0.69314718055994529</v>
      </c>
      <c r="S268" s="5">
        <f t="shared" si="33"/>
        <v>1</v>
      </c>
      <c r="T268" s="3">
        <f t="shared" si="34"/>
        <v>1</v>
      </c>
      <c r="U268" s="3" t="s">
        <v>102</v>
      </c>
      <c r="V268" s="3">
        <v>1</v>
      </c>
      <c r="W268" s="6">
        <v>6.4</v>
      </c>
      <c r="X268" s="4">
        <v>10</v>
      </c>
      <c r="Y268" s="5">
        <v>0.3</v>
      </c>
      <c r="Z268" s="5">
        <v>1</v>
      </c>
      <c r="AA268" s="3" t="s">
        <v>80</v>
      </c>
      <c r="AB268" s="3">
        <v>0</v>
      </c>
      <c r="AC268" s="3" t="s">
        <v>89</v>
      </c>
      <c r="AD268" s="3">
        <v>1</v>
      </c>
      <c r="AE268" s="3" t="s">
        <v>103</v>
      </c>
      <c r="AF268" s="3">
        <v>1</v>
      </c>
      <c r="AG268" s="3" t="s">
        <v>82</v>
      </c>
      <c r="AH268" s="3">
        <v>1</v>
      </c>
      <c r="AI268" s="3">
        <v>2</v>
      </c>
      <c r="AJ268" s="3">
        <v>2</v>
      </c>
      <c r="AK268" s="3">
        <v>1</v>
      </c>
      <c r="AL268" s="3">
        <v>1</v>
      </c>
      <c r="AM268" s="3">
        <v>0</v>
      </c>
      <c r="AN268" s="3">
        <v>0</v>
      </c>
      <c r="AO268" s="3">
        <v>0</v>
      </c>
      <c r="AP268" s="3">
        <v>0</v>
      </c>
      <c r="AQ268" s="3">
        <v>1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1</v>
      </c>
      <c r="BH268" s="3">
        <v>1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7" t="s">
        <v>782</v>
      </c>
      <c r="BX268" s="7" t="s">
        <v>783</v>
      </c>
    </row>
    <row r="269" spans="1:76">
      <c r="A269" s="3" t="s">
        <v>784</v>
      </c>
      <c r="B269" s="3">
        <v>5448</v>
      </c>
      <c r="C269" s="3" t="s">
        <v>781</v>
      </c>
      <c r="D269" s="3">
        <v>4</v>
      </c>
      <c r="E269" s="4">
        <v>82</v>
      </c>
      <c r="F269" s="3" t="s">
        <v>87</v>
      </c>
      <c r="G269" s="3">
        <v>0</v>
      </c>
      <c r="H269" s="3">
        <v>1</v>
      </c>
      <c r="I269" s="4">
        <v>0</v>
      </c>
      <c r="J269" s="4">
        <v>1</v>
      </c>
      <c r="K269" s="4">
        <v>1</v>
      </c>
      <c r="L269" s="5">
        <f>IF(F269="F",65.79,IF(F269="M",79.94,""))</f>
        <v>65.790000000000006</v>
      </c>
      <c r="M269" s="3">
        <f t="shared" si="28"/>
        <v>0</v>
      </c>
      <c r="N269" s="3" t="str">
        <f t="shared" si="29"/>
        <v>VSC-non-halitosis</v>
      </c>
      <c r="O269" s="3" t="str">
        <f t="shared" si="30"/>
        <v>Clinical- / VSC-</v>
      </c>
      <c r="P269" s="5">
        <f t="shared" si="31"/>
        <v>0</v>
      </c>
      <c r="Q269" s="5">
        <f t="shared" si="32"/>
        <v>0</v>
      </c>
      <c r="R269" s="5">
        <f t="shared" si="32"/>
        <v>0.69314718055994529</v>
      </c>
      <c r="S269" s="5">
        <f t="shared" si="33"/>
        <v>1</v>
      </c>
      <c r="T269" s="3">
        <f t="shared" si="34"/>
        <v>1</v>
      </c>
      <c r="U269" s="3" t="s">
        <v>102</v>
      </c>
      <c r="V269" s="3">
        <v>1</v>
      </c>
      <c r="W269" s="6">
        <v>6.4</v>
      </c>
      <c r="X269" s="4">
        <v>10</v>
      </c>
      <c r="Y269" s="5">
        <v>0.3</v>
      </c>
      <c r="Z269" s="5">
        <v>1</v>
      </c>
      <c r="AA269" s="3" t="s">
        <v>80</v>
      </c>
      <c r="AB269" s="3">
        <v>0</v>
      </c>
      <c r="AC269" s="3" t="s">
        <v>138</v>
      </c>
      <c r="AD269" s="3">
        <v>1</v>
      </c>
      <c r="AE269" s="3" t="s">
        <v>82</v>
      </c>
      <c r="AF269" s="3">
        <v>1</v>
      </c>
      <c r="AG269" s="3" t="s">
        <v>82</v>
      </c>
      <c r="AH269" s="3">
        <v>1</v>
      </c>
      <c r="AI269" s="3">
        <v>1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1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7" t="s">
        <v>785</v>
      </c>
      <c r="BX269" s="7" t="s">
        <v>786</v>
      </c>
    </row>
    <row r="270" spans="1:76">
      <c r="A270" s="3" t="s">
        <v>787</v>
      </c>
      <c r="B270" s="3">
        <v>3298</v>
      </c>
      <c r="C270" s="3" t="s">
        <v>781</v>
      </c>
      <c r="D270" s="3">
        <v>4</v>
      </c>
      <c r="E270" s="4">
        <v>82</v>
      </c>
      <c r="F270" s="3" t="s">
        <v>87</v>
      </c>
      <c r="G270" s="3">
        <v>0</v>
      </c>
      <c r="H270" s="3">
        <v>0</v>
      </c>
      <c r="I270" s="4">
        <v>0</v>
      </c>
      <c r="J270" s="4">
        <v>1</v>
      </c>
      <c r="K270" s="4">
        <v>1</v>
      </c>
      <c r="L270" s="5">
        <f>IF(F270="F",65.79,IF(F270="M",79.94,""))</f>
        <v>65.790000000000006</v>
      </c>
      <c r="M270" s="3">
        <f t="shared" si="28"/>
        <v>0</v>
      </c>
      <c r="N270" s="3" t="str">
        <f t="shared" si="29"/>
        <v>VSC-non-halitosis</v>
      </c>
      <c r="O270" s="3" t="str">
        <f t="shared" si="30"/>
        <v>Clinical- / VSC-</v>
      </c>
      <c r="P270" s="5">
        <f t="shared" si="31"/>
        <v>0</v>
      </c>
      <c r="Q270" s="5">
        <f t="shared" si="32"/>
        <v>0</v>
      </c>
      <c r="R270" s="5">
        <f t="shared" si="32"/>
        <v>0.69314718055994529</v>
      </c>
      <c r="S270" s="5">
        <f t="shared" si="33"/>
        <v>1</v>
      </c>
      <c r="T270" s="3">
        <f t="shared" si="34"/>
        <v>1</v>
      </c>
      <c r="U270" s="3" t="s">
        <v>102</v>
      </c>
      <c r="V270" s="3">
        <v>1</v>
      </c>
      <c r="W270" s="6">
        <v>6.2</v>
      </c>
      <c r="X270" s="4">
        <v>10</v>
      </c>
      <c r="Y270" s="5">
        <v>0.2</v>
      </c>
      <c r="Z270" s="5">
        <v>0.3</v>
      </c>
      <c r="AA270" s="3" t="s">
        <v>80</v>
      </c>
      <c r="AB270" s="3">
        <v>0</v>
      </c>
      <c r="AC270" s="3" t="s">
        <v>89</v>
      </c>
      <c r="AD270" s="3">
        <v>1</v>
      </c>
      <c r="AE270" s="3" t="s">
        <v>103</v>
      </c>
      <c r="AF270" s="3">
        <v>1</v>
      </c>
      <c r="AG270" s="3" t="s">
        <v>82</v>
      </c>
      <c r="AH270" s="3">
        <v>1</v>
      </c>
      <c r="AI270" s="3">
        <v>2</v>
      </c>
      <c r="AJ270" s="3">
        <v>2</v>
      </c>
      <c r="AK270" s="3">
        <v>1</v>
      </c>
      <c r="AL270" s="3">
        <v>1</v>
      </c>
      <c r="AM270" s="3">
        <v>0</v>
      </c>
      <c r="AN270" s="3">
        <v>0</v>
      </c>
      <c r="AO270" s="3">
        <v>0</v>
      </c>
      <c r="AP270" s="3">
        <v>0</v>
      </c>
      <c r="AQ270" s="3">
        <v>1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1</v>
      </c>
      <c r="BH270" s="3">
        <v>1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7" t="s">
        <v>782</v>
      </c>
      <c r="BX270" s="7" t="s">
        <v>783</v>
      </c>
    </row>
    <row r="271" spans="1:76">
      <c r="A271" s="3" t="s">
        <v>788</v>
      </c>
      <c r="B271" s="3">
        <v>5448</v>
      </c>
      <c r="C271" s="3" t="s">
        <v>781</v>
      </c>
      <c r="D271" s="3">
        <v>4</v>
      </c>
      <c r="E271" s="4">
        <v>82</v>
      </c>
      <c r="F271" s="3" t="s">
        <v>87</v>
      </c>
      <c r="G271" s="3">
        <v>0</v>
      </c>
      <c r="H271" s="3">
        <v>1</v>
      </c>
      <c r="I271" s="4">
        <v>0</v>
      </c>
      <c r="J271" s="4">
        <v>1</v>
      </c>
      <c r="K271" s="4">
        <v>1</v>
      </c>
      <c r="L271" s="5">
        <f>IF(F271="F",65.79,IF(F271="M",79.94,""))</f>
        <v>65.790000000000006</v>
      </c>
      <c r="M271" s="3">
        <f t="shared" si="28"/>
        <v>0</v>
      </c>
      <c r="N271" s="3" t="str">
        <f t="shared" si="29"/>
        <v>VSC-non-halitosis</v>
      </c>
      <c r="O271" s="3" t="str">
        <f t="shared" si="30"/>
        <v>Clinical- / VSC-</v>
      </c>
      <c r="P271" s="5">
        <f t="shared" si="31"/>
        <v>0</v>
      </c>
      <c r="Q271" s="5">
        <f t="shared" si="32"/>
        <v>0</v>
      </c>
      <c r="R271" s="5">
        <f t="shared" si="32"/>
        <v>0.69314718055994529</v>
      </c>
      <c r="S271" s="5">
        <f t="shared" si="33"/>
        <v>1</v>
      </c>
      <c r="T271" s="3">
        <f t="shared" si="34"/>
        <v>1</v>
      </c>
      <c r="U271" s="3" t="s">
        <v>102</v>
      </c>
      <c r="V271" s="3">
        <v>1</v>
      </c>
      <c r="W271" s="6">
        <v>6.2</v>
      </c>
      <c r="X271" s="4">
        <v>10</v>
      </c>
      <c r="Y271" s="5">
        <v>0.2</v>
      </c>
      <c r="Z271" s="5">
        <v>0.3</v>
      </c>
      <c r="AA271" s="3" t="s">
        <v>80</v>
      </c>
      <c r="AB271" s="3">
        <v>0</v>
      </c>
      <c r="AC271" s="3" t="s">
        <v>138</v>
      </c>
      <c r="AD271" s="3">
        <v>1</v>
      </c>
      <c r="AE271" s="3" t="s">
        <v>82</v>
      </c>
      <c r="AF271" s="3">
        <v>1</v>
      </c>
      <c r="AG271" s="3" t="s">
        <v>82</v>
      </c>
      <c r="AH271" s="3">
        <v>1</v>
      </c>
      <c r="AI271" s="3">
        <v>1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1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7" t="s">
        <v>785</v>
      </c>
      <c r="BX271" s="7" t="s">
        <v>786</v>
      </c>
    </row>
    <row r="272" spans="1:76">
      <c r="A272" s="3" t="s">
        <v>789</v>
      </c>
      <c r="B272" s="3">
        <v>4040</v>
      </c>
      <c r="C272" s="3" t="s">
        <v>790</v>
      </c>
      <c r="D272" s="3">
        <v>1</v>
      </c>
      <c r="E272" s="4">
        <v>67</v>
      </c>
      <c r="F272" s="3" t="s">
        <v>78</v>
      </c>
      <c r="G272" s="3">
        <v>0</v>
      </c>
      <c r="H272" s="3">
        <v>0</v>
      </c>
      <c r="I272" s="4">
        <v>125</v>
      </c>
      <c r="J272" s="4">
        <v>94</v>
      </c>
      <c r="K272" s="4">
        <v>219</v>
      </c>
      <c r="L272" s="5">
        <f>IF(F272="F",65.79,IF(F272="M",79.94,""))</f>
        <v>79.94</v>
      </c>
      <c r="M272" s="3">
        <f t="shared" si="28"/>
        <v>1</v>
      </c>
      <c r="N272" s="3" t="str">
        <f t="shared" si="29"/>
        <v>VSC-halitosis</v>
      </c>
      <c r="O272" s="3" t="str">
        <f t="shared" si="30"/>
        <v>Clinical- / VSC+</v>
      </c>
      <c r="P272" s="5">
        <f t="shared" si="31"/>
        <v>5.389071729816501</v>
      </c>
      <c r="Q272" s="5">
        <f t="shared" si="32"/>
        <v>4.836281906951478</v>
      </c>
      <c r="R272" s="5">
        <f t="shared" si="32"/>
        <v>4.5538768916005408</v>
      </c>
      <c r="S272" s="5">
        <f t="shared" si="33"/>
        <v>0.42922374429223742</v>
      </c>
      <c r="T272" s="3">
        <f t="shared" si="34"/>
        <v>0</v>
      </c>
      <c r="U272" s="3" t="s">
        <v>96</v>
      </c>
      <c r="V272" s="3">
        <v>3</v>
      </c>
      <c r="W272" s="6">
        <v>7.4</v>
      </c>
      <c r="X272" s="4">
        <v>9</v>
      </c>
      <c r="Y272" s="5">
        <v>0.4</v>
      </c>
      <c r="Z272" s="5">
        <v>2.5</v>
      </c>
      <c r="AA272" s="3" t="s">
        <v>88</v>
      </c>
      <c r="AB272" s="3">
        <v>0</v>
      </c>
      <c r="AC272" s="3" t="s">
        <v>81</v>
      </c>
      <c r="AD272" s="3">
        <v>0</v>
      </c>
      <c r="AE272" s="3" t="s">
        <v>82</v>
      </c>
      <c r="AF272" s="3">
        <v>1</v>
      </c>
      <c r="AG272" s="3" t="s">
        <v>98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7" t="s">
        <v>791</v>
      </c>
      <c r="BX272" s="7" t="s">
        <v>792</v>
      </c>
    </row>
    <row r="273" spans="1:76">
      <c r="A273" s="3" t="s">
        <v>793</v>
      </c>
      <c r="B273" s="3">
        <v>4712</v>
      </c>
      <c r="C273" s="3" t="s">
        <v>794</v>
      </c>
      <c r="D273" s="3">
        <v>1</v>
      </c>
      <c r="E273" s="4">
        <v>72</v>
      </c>
      <c r="F273" s="3" t="s">
        <v>87</v>
      </c>
      <c r="G273" s="3">
        <v>0</v>
      </c>
      <c r="H273" s="3">
        <v>0</v>
      </c>
      <c r="I273" s="4">
        <v>51</v>
      </c>
      <c r="J273" s="4">
        <v>4</v>
      </c>
      <c r="K273" s="4">
        <v>55</v>
      </c>
      <c r="L273" s="5">
        <f>IF(F273="F",65.79,IF(F273="M",79.94,""))</f>
        <v>65.790000000000006</v>
      </c>
      <c r="M273" s="3">
        <f t="shared" si="28"/>
        <v>0</v>
      </c>
      <c r="N273" s="3" t="str">
        <f t="shared" si="29"/>
        <v>VSC-non-halitosis</v>
      </c>
      <c r="O273" s="3" t="str">
        <f t="shared" si="30"/>
        <v>Clinical- / VSC-</v>
      </c>
      <c r="P273" s="5">
        <f t="shared" si="31"/>
        <v>4.0073331852324712</v>
      </c>
      <c r="Q273" s="5">
        <f t="shared" si="32"/>
        <v>3.9512437185814275</v>
      </c>
      <c r="R273" s="5">
        <f t="shared" si="32"/>
        <v>1.6094379124341003</v>
      </c>
      <c r="S273" s="5">
        <f t="shared" si="33"/>
        <v>7.2727272727272724E-2</v>
      </c>
      <c r="T273" s="3">
        <f t="shared" si="34"/>
        <v>0</v>
      </c>
      <c r="U273" s="3" t="s">
        <v>96</v>
      </c>
      <c r="V273" s="3">
        <v>3</v>
      </c>
      <c r="W273" s="6"/>
      <c r="X273" s="4">
        <v>5</v>
      </c>
      <c r="Y273" s="5">
        <v>0.2</v>
      </c>
      <c r="Z273" s="5">
        <v>1.4</v>
      </c>
      <c r="AA273" s="3" t="s">
        <v>80</v>
      </c>
      <c r="AB273" s="3">
        <v>0</v>
      </c>
      <c r="AC273" s="3" t="s">
        <v>138</v>
      </c>
      <c r="AD273" s="3">
        <v>1</v>
      </c>
      <c r="AE273" s="3" t="s">
        <v>103</v>
      </c>
      <c r="AF273" s="3">
        <v>1</v>
      </c>
      <c r="AG273" s="3" t="s">
        <v>82</v>
      </c>
      <c r="AH273" s="3">
        <v>1</v>
      </c>
      <c r="AI273" s="3">
        <v>2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1</v>
      </c>
      <c r="AV273" s="3">
        <v>0</v>
      </c>
      <c r="AW273" s="3">
        <v>1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7" t="s">
        <v>795</v>
      </c>
      <c r="BX273" s="7" t="s">
        <v>796</v>
      </c>
    </row>
    <row r="274" spans="1:76">
      <c r="A274" s="3" t="s">
        <v>797</v>
      </c>
      <c r="B274" s="3">
        <v>2919</v>
      </c>
      <c r="C274" s="3" t="s">
        <v>798</v>
      </c>
      <c r="D274" s="3">
        <v>2</v>
      </c>
      <c r="E274" s="4">
        <v>49</v>
      </c>
      <c r="F274" s="3" t="s">
        <v>87</v>
      </c>
      <c r="G274" s="3">
        <v>0</v>
      </c>
      <c r="H274" s="3">
        <v>0</v>
      </c>
      <c r="I274" s="4">
        <v>5</v>
      </c>
      <c r="J274" s="4">
        <v>5</v>
      </c>
      <c r="K274" s="4">
        <v>10</v>
      </c>
      <c r="L274" s="5">
        <f>IF(F274="F",65.79,IF(F274="M",79.94,""))</f>
        <v>65.790000000000006</v>
      </c>
      <c r="M274" s="3">
        <f t="shared" si="28"/>
        <v>0</v>
      </c>
      <c r="N274" s="3" t="str">
        <f t="shared" si="29"/>
        <v>VSC-non-halitosis</v>
      </c>
      <c r="O274" s="3" t="str">
        <f t="shared" si="30"/>
        <v>Clinical- / VSC-</v>
      </c>
      <c r="P274" s="5">
        <f t="shared" si="31"/>
        <v>2.3025850929940459</v>
      </c>
      <c r="Q274" s="5">
        <f t="shared" si="32"/>
        <v>1.791759469228055</v>
      </c>
      <c r="R274" s="5">
        <f t="shared" si="32"/>
        <v>1.791759469228055</v>
      </c>
      <c r="S274" s="5">
        <f t="shared" si="33"/>
        <v>0.5</v>
      </c>
      <c r="T274" s="3">
        <f t="shared" si="34"/>
        <v>0</v>
      </c>
      <c r="U274" s="3" t="s">
        <v>79</v>
      </c>
      <c r="V274" s="3">
        <v>2</v>
      </c>
      <c r="W274" s="6">
        <v>6.4</v>
      </c>
      <c r="X274" s="4">
        <v>12</v>
      </c>
      <c r="Y274" s="5">
        <v>0.5</v>
      </c>
      <c r="Z274" s="5">
        <v>2</v>
      </c>
      <c r="AA274" s="3" t="s">
        <v>80</v>
      </c>
      <c r="AB274" s="3">
        <v>0</v>
      </c>
      <c r="AC274" s="3" t="s">
        <v>81</v>
      </c>
      <c r="AD274" s="3">
        <v>0</v>
      </c>
      <c r="AE274" s="3" t="s">
        <v>98</v>
      </c>
      <c r="AF274" s="3">
        <v>0</v>
      </c>
      <c r="AG274" s="3" t="s">
        <v>80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7" t="s">
        <v>119</v>
      </c>
      <c r="BX274" s="7" t="s">
        <v>119</v>
      </c>
    </row>
    <row r="275" spans="1:76">
      <c r="A275" s="3" t="s">
        <v>799</v>
      </c>
      <c r="B275" s="3">
        <v>5115</v>
      </c>
      <c r="C275" s="3" t="s">
        <v>798</v>
      </c>
      <c r="D275" s="3">
        <v>2</v>
      </c>
      <c r="E275" s="4">
        <v>49</v>
      </c>
      <c r="F275" s="3" t="s">
        <v>87</v>
      </c>
      <c r="G275" s="3">
        <v>0</v>
      </c>
      <c r="H275" s="3">
        <v>0</v>
      </c>
      <c r="I275" s="4">
        <v>5</v>
      </c>
      <c r="J275" s="4">
        <v>5</v>
      </c>
      <c r="K275" s="4">
        <v>10</v>
      </c>
      <c r="L275" s="5">
        <f>IF(F275="F",65.79,IF(F275="M",79.94,""))</f>
        <v>65.790000000000006</v>
      </c>
      <c r="M275" s="3">
        <f t="shared" si="28"/>
        <v>0</v>
      </c>
      <c r="N275" s="3" t="str">
        <f t="shared" si="29"/>
        <v>VSC-non-halitosis</v>
      </c>
      <c r="O275" s="3" t="str">
        <f t="shared" si="30"/>
        <v>Clinical- / VSC-</v>
      </c>
      <c r="P275" s="5">
        <f t="shared" si="31"/>
        <v>2.3025850929940459</v>
      </c>
      <c r="Q275" s="5">
        <f t="shared" si="32"/>
        <v>1.791759469228055</v>
      </c>
      <c r="R275" s="5">
        <f t="shared" si="32"/>
        <v>1.791759469228055</v>
      </c>
      <c r="S275" s="5">
        <f t="shared" si="33"/>
        <v>0.5</v>
      </c>
      <c r="T275" s="3">
        <f t="shared" si="34"/>
        <v>0</v>
      </c>
      <c r="U275" s="3" t="s">
        <v>79</v>
      </c>
      <c r="V275" s="3">
        <v>2</v>
      </c>
      <c r="W275" s="6">
        <v>6.4</v>
      </c>
      <c r="X275" s="4">
        <v>12</v>
      </c>
      <c r="Y275" s="5">
        <v>0.5</v>
      </c>
      <c r="Z275" s="5">
        <v>2</v>
      </c>
      <c r="AA275" s="3" t="s">
        <v>88</v>
      </c>
      <c r="AB275" s="3">
        <v>0</v>
      </c>
      <c r="AC275" s="3" t="s">
        <v>113</v>
      </c>
      <c r="AD275" s="3">
        <v>0</v>
      </c>
      <c r="AE275" s="3" t="s">
        <v>98</v>
      </c>
      <c r="AF275" s="3">
        <v>0</v>
      </c>
      <c r="AG275" s="3" t="s">
        <v>82</v>
      </c>
      <c r="AH275" s="3">
        <v>1</v>
      </c>
      <c r="AI275" s="3">
        <v>1</v>
      </c>
      <c r="AJ275" s="3">
        <v>1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1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1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7" t="s">
        <v>750</v>
      </c>
      <c r="BX275" s="7" t="s">
        <v>800</v>
      </c>
    </row>
    <row r="276" spans="1:76">
      <c r="A276" s="3" t="s">
        <v>801</v>
      </c>
      <c r="B276" s="3">
        <v>2850</v>
      </c>
      <c r="C276" s="3" t="s">
        <v>802</v>
      </c>
      <c r="D276" s="3">
        <v>1</v>
      </c>
      <c r="E276" s="4">
        <v>74</v>
      </c>
      <c r="F276" s="3" t="s">
        <v>87</v>
      </c>
      <c r="G276" s="3">
        <v>0</v>
      </c>
      <c r="H276" s="3">
        <v>0</v>
      </c>
      <c r="I276" s="4">
        <v>6</v>
      </c>
      <c r="J276" s="4">
        <v>2</v>
      </c>
      <c r="K276" s="4">
        <v>8</v>
      </c>
      <c r="L276" s="5">
        <f>IF(F276="F",65.79,IF(F276="M",79.94,""))</f>
        <v>65.790000000000006</v>
      </c>
      <c r="M276" s="3">
        <f t="shared" si="28"/>
        <v>0</v>
      </c>
      <c r="N276" s="3" t="str">
        <f t="shared" si="29"/>
        <v>VSC-non-halitosis</v>
      </c>
      <c r="O276" s="3" t="str">
        <f t="shared" si="30"/>
        <v>Clinical- / VSC-</v>
      </c>
      <c r="P276" s="5">
        <f t="shared" si="31"/>
        <v>2.0794415416798357</v>
      </c>
      <c r="Q276" s="5">
        <f t="shared" si="32"/>
        <v>1.9459101490553132</v>
      </c>
      <c r="R276" s="5">
        <f t="shared" si="32"/>
        <v>1.0986122886681098</v>
      </c>
      <c r="S276" s="5">
        <f t="shared" si="33"/>
        <v>0.25</v>
      </c>
      <c r="T276" s="3">
        <f t="shared" si="34"/>
        <v>0</v>
      </c>
      <c r="U276" s="3" t="s">
        <v>79</v>
      </c>
      <c r="V276" s="3">
        <v>2</v>
      </c>
      <c r="W276" s="6"/>
      <c r="X276" s="4">
        <v>12</v>
      </c>
      <c r="Y276" s="5">
        <v>0.4</v>
      </c>
      <c r="Z276" s="5">
        <v>1.4</v>
      </c>
      <c r="AA276" s="3" t="s">
        <v>80</v>
      </c>
      <c r="AB276" s="3">
        <v>0</v>
      </c>
      <c r="AC276" s="3" t="s">
        <v>113</v>
      </c>
      <c r="AD276" s="3">
        <v>0</v>
      </c>
      <c r="AE276" s="3" t="s">
        <v>82</v>
      </c>
      <c r="AF276" s="3">
        <v>1</v>
      </c>
      <c r="AG276" s="3" t="s">
        <v>108</v>
      </c>
      <c r="AH276" s="3">
        <v>1</v>
      </c>
      <c r="AI276" s="3">
        <v>2</v>
      </c>
      <c r="AJ276" s="3">
        <v>1</v>
      </c>
      <c r="AK276" s="3">
        <v>0</v>
      </c>
      <c r="AL276" s="3">
        <v>1</v>
      </c>
      <c r="AM276" s="3">
        <v>0</v>
      </c>
      <c r="AN276" s="3">
        <v>1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1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7" t="s">
        <v>803</v>
      </c>
      <c r="BX276" s="7" t="s">
        <v>804</v>
      </c>
    </row>
    <row r="277" spans="1:76">
      <c r="A277" s="3" t="s">
        <v>805</v>
      </c>
      <c r="B277" s="3">
        <v>3609</v>
      </c>
      <c r="C277" s="3" t="s">
        <v>806</v>
      </c>
      <c r="D277" s="3">
        <v>1</v>
      </c>
      <c r="E277" s="4">
        <v>73</v>
      </c>
      <c r="F277" s="3" t="s">
        <v>87</v>
      </c>
      <c r="G277" s="3">
        <v>0</v>
      </c>
      <c r="H277" s="3">
        <v>0</v>
      </c>
      <c r="I277" s="4">
        <v>135</v>
      </c>
      <c r="J277" s="4">
        <v>93</v>
      </c>
      <c r="K277" s="4">
        <v>228</v>
      </c>
      <c r="L277" s="5">
        <f>IF(F277="F",65.79,IF(F277="M",79.94,""))</f>
        <v>65.790000000000006</v>
      </c>
      <c r="M277" s="3">
        <f t="shared" si="28"/>
        <v>1</v>
      </c>
      <c r="N277" s="3" t="str">
        <f t="shared" si="29"/>
        <v>VSC-halitosis</v>
      </c>
      <c r="O277" s="3" t="str">
        <f t="shared" si="30"/>
        <v>Clinical- / VSC+</v>
      </c>
      <c r="P277" s="5">
        <f t="shared" si="31"/>
        <v>5.4293456289544411</v>
      </c>
      <c r="Q277" s="5">
        <f t="shared" si="32"/>
        <v>4.9126548857360524</v>
      </c>
      <c r="R277" s="5">
        <f t="shared" si="32"/>
        <v>4.5432947822700038</v>
      </c>
      <c r="S277" s="5">
        <f t="shared" si="33"/>
        <v>0.40789473684210525</v>
      </c>
      <c r="T277" s="3">
        <f t="shared" si="34"/>
        <v>0</v>
      </c>
      <c r="U277" s="3" t="s">
        <v>96</v>
      </c>
      <c r="V277" s="3">
        <v>3</v>
      </c>
      <c r="W277" s="6">
        <v>6.2</v>
      </c>
      <c r="X277" s="4">
        <v>6</v>
      </c>
      <c r="Y277" s="5">
        <v>0.1</v>
      </c>
      <c r="Z277" s="5">
        <v>0.7</v>
      </c>
      <c r="AA277" s="3" t="s">
        <v>80</v>
      </c>
      <c r="AB277" s="3">
        <v>0</v>
      </c>
      <c r="AC277" s="3" t="s">
        <v>81</v>
      </c>
      <c r="AD277" s="3">
        <v>0</v>
      </c>
      <c r="AE277" s="3" t="s">
        <v>82</v>
      </c>
      <c r="AF277" s="3">
        <v>1</v>
      </c>
      <c r="AG277" s="3" t="s">
        <v>82</v>
      </c>
      <c r="AH277" s="3">
        <v>1</v>
      </c>
      <c r="AI277" s="3">
        <v>1</v>
      </c>
      <c r="AJ277" s="3">
        <v>0</v>
      </c>
      <c r="AK277" s="3">
        <v>0</v>
      </c>
      <c r="AL277" s="3">
        <v>1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7" t="s">
        <v>186</v>
      </c>
      <c r="BX277" s="7" t="s">
        <v>119</v>
      </c>
    </row>
    <row r="278" spans="1:76">
      <c r="A278" s="3" t="s">
        <v>807</v>
      </c>
      <c r="B278" s="3">
        <v>3883</v>
      </c>
      <c r="C278" s="3" t="s">
        <v>808</v>
      </c>
      <c r="D278" s="3">
        <v>1</v>
      </c>
      <c r="E278" s="4">
        <v>61</v>
      </c>
      <c r="F278" s="3" t="s">
        <v>87</v>
      </c>
      <c r="G278" s="3">
        <v>0</v>
      </c>
      <c r="H278" s="3">
        <v>1</v>
      </c>
      <c r="I278" s="4">
        <v>2</v>
      </c>
      <c r="J278" s="4">
        <v>2</v>
      </c>
      <c r="K278" s="4">
        <v>4</v>
      </c>
      <c r="L278" s="5">
        <f>IF(F278="F",65.79,IF(F278="M",79.94,""))</f>
        <v>65.790000000000006</v>
      </c>
      <c r="M278" s="3">
        <f t="shared" si="28"/>
        <v>0</v>
      </c>
      <c r="N278" s="3" t="str">
        <f t="shared" si="29"/>
        <v>VSC-non-halitosis</v>
      </c>
      <c r="O278" s="3" t="str">
        <f t="shared" si="30"/>
        <v>Clinical- / VSC-</v>
      </c>
      <c r="P278" s="5">
        <f t="shared" si="31"/>
        <v>1.3862943611198906</v>
      </c>
      <c r="Q278" s="5">
        <f t="shared" si="32"/>
        <v>1.0986122886681098</v>
      </c>
      <c r="R278" s="5">
        <f t="shared" si="32"/>
        <v>1.0986122886681098</v>
      </c>
      <c r="S278" s="5">
        <f t="shared" si="33"/>
        <v>0.5</v>
      </c>
      <c r="T278" s="3">
        <f t="shared" si="34"/>
        <v>0</v>
      </c>
      <c r="U278" s="3" t="s">
        <v>79</v>
      </c>
      <c r="V278" s="3">
        <v>2</v>
      </c>
      <c r="W278" s="6"/>
      <c r="X278" s="4">
        <v>8</v>
      </c>
      <c r="Y278" s="5">
        <v>0.1</v>
      </c>
      <c r="Z278" s="5">
        <v>0.6</v>
      </c>
      <c r="AA278" s="3" t="s">
        <v>108</v>
      </c>
      <c r="AB278" s="3">
        <v>1</v>
      </c>
      <c r="AC278" s="3" t="s">
        <v>81</v>
      </c>
      <c r="AD278" s="3">
        <v>0</v>
      </c>
      <c r="AE278" s="3" t="s">
        <v>82</v>
      </c>
      <c r="AF278" s="3">
        <v>1</v>
      </c>
      <c r="AG278" s="3" t="s">
        <v>82</v>
      </c>
      <c r="AH278" s="3">
        <v>1</v>
      </c>
      <c r="AI278" s="3">
        <v>1</v>
      </c>
      <c r="AJ278" s="3">
        <v>1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1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1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7" t="s">
        <v>119</v>
      </c>
      <c r="BX278" s="7" t="s">
        <v>809</v>
      </c>
    </row>
    <row r="279" spans="1:76">
      <c r="A279" s="3" t="s">
        <v>810</v>
      </c>
      <c r="B279" s="3">
        <v>3075</v>
      </c>
      <c r="C279" s="3" t="s">
        <v>811</v>
      </c>
      <c r="D279" s="3">
        <v>1</v>
      </c>
      <c r="E279" s="4">
        <v>54</v>
      </c>
      <c r="F279" s="3" t="s">
        <v>87</v>
      </c>
      <c r="G279" s="3">
        <v>0</v>
      </c>
      <c r="H279" s="3">
        <v>0</v>
      </c>
      <c r="I279" s="4">
        <v>4</v>
      </c>
      <c r="J279" s="4">
        <v>5</v>
      </c>
      <c r="K279" s="4">
        <v>9</v>
      </c>
      <c r="L279" s="5">
        <f>IF(F279="F",65.79,IF(F279="M",79.94,""))</f>
        <v>65.790000000000006</v>
      </c>
      <c r="M279" s="3">
        <f t="shared" si="28"/>
        <v>0</v>
      </c>
      <c r="N279" s="3" t="str">
        <f t="shared" si="29"/>
        <v>VSC-non-halitosis</v>
      </c>
      <c r="O279" s="3" t="str">
        <f t="shared" si="30"/>
        <v>Clinical- / VSC-</v>
      </c>
      <c r="P279" s="5">
        <f t="shared" si="31"/>
        <v>2.1972245773362196</v>
      </c>
      <c r="Q279" s="5">
        <f t="shared" si="32"/>
        <v>1.6094379124341003</v>
      </c>
      <c r="R279" s="5">
        <f t="shared" si="32"/>
        <v>1.791759469228055</v>
      </c>
      <c r="S279" s="5">
        <f t="shared" si="33"/>
        <v>0.55555555555555558</v>
      </c>
      <c r="T279" s="3">
        <f t="shared" si="34"/>
        <v>1</v>
      </c>
      <c r="U279" s="3" t="s">
        <v>79</v>
      </c>
      <c r="V279" s="3">
        <v>2</v>
      </c>
      <c r="W279" s="6">
        <v>6.2</v>
      </c>
      <c r="X279" s="4">
        <v>11</v>
      </c>
      <c r="Y279" s="5">
        <v>0.3</v>
      </c>
      <c r="Z279" s="5">
        <v>1.5</v>
      </c>
      <c r="AA279" s="3" t="s">
        <v>80</v>
      </c>
      <c r="AB279" s="3">
        <v>0</v>
      </c>
      <c r="AC279" s="3" t="s">
        <v>113</v>
      </c>
      <c r="AD279" s="3">
        <v>0</v>
      </c>
      <c r="AE279" s="3" t="s">
        <v>98</v>
      </c>
      <c r="AF279" s="3">
        <v>0</v>
      </c>
      <c r="AG279" s="3" t="s">
        <v>82</v>
      </c>
      <c r="AH279" s="3">
        <v>1</v>
      </c>
      <c r="AI279" s="3">
        <v>1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1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7" t="s">
        <v>812</v>
      </c>
      <c r="BX279" s="7" t="s">
        <v>119</v>
      </c>
    </row>
    <row r="280" spans="1:76" ht="34">
      <c r="A280" s="3" t="s">
        <v>813</v>
      </c>
      <c r="B280" s="3">
        <v>5957</v>
      </c>
      <c r="C280" s="3" t="s">
        <v>814</v>
      </c>
      <c r="D280" s="3">
        <v>1</v>
      </c>
      <c r="E280" s="4">
        <v>65</v>
      </c>
      <c r="F280" s="3" t="s">
        <v>87</v>
      </c>
      <c r="G280" s="3">
        <v>0</v>
      </c>
      <c r="H280" s="3">
        <v>0</v>
      </c>
      <c r="I280" s="4">
        <v>8</v>
      </c>
      <c r="J280" s="4">
        <v>1</v>
      </c>
      <c r="K280" s="4">
        <v>9</v>
      </c>
      <c r="L280" s="5">
        <f>IF(F280="F",65.79,IF(F280="M",79.94,""))</f>
        <v>65.790000000000006</v>
      </c>
      <c r="M280" s="3">
        <f t="shared" si="28"/>
        <v>0</v>
      </c>
      <c r="N280" s="3" t="str">
        <f t="shared" si="29"/>
        <v>VSC-non-halitosis</v>
      </c>
      <c r="O280" s="3" t="str">
        <f t="shared" si="30"/>
        <v>Clinical- / VSC-</v>
      </c>
      <c r="P280" s="5">
        <f t="shared" si="31"/>
        <v>2.1972245773362196</v>
      </c>
      <c r="Q280" s="5">
        <f t="shared" si="32"/>
        <v>2.1972245773362196</v>
      </c>
      <c r="R280" s="5">
        <f t="shared" si="32"/>
        <v>0.69314718055994529</v>
      </c>
      <c r="S280" s="5">
        <f t="shared" si="33"/>
        <v>0.1111111111111111</v>
      </c>
      <c r="T280" s="3">
        <f t="shared" si="34"/>
        <v>0</v>
      </c>
      <c r="U280" s="3" t="s">
        <v>79</v>
      </c>
      <c r="V280" s="3">
        <v>2</v>
      </c>
      <c r="W280" s="6">
        <v>7.4</v>
      </c>
      <c r="X280" s="4">
        <v>8</v>
      </c>
      <c r="Y280" s="5">
        <v>0.7</v>
      </c>
      <c r="Z280" s="5">
        <v>1.5</v>
      </c>
      <c r="AA280" s="3" t="s">
        <v>97</v>
      </c>
      <c r="AB280" s="3">
        <v>0</v>
      </c>
      <c r="AC280" s="3" t="s">
        <v>81</v>
      </c>
      <c r="AD280" s="3">
        <v>0</v>
      </c>
      <c r="AE280" s="3" t="s">
        <v>82</v>
      </c>
      <c r="AF280" s="3">
        <v>1</v>
      </c>
      <c r="AG280" s="3" t="s">
        <v>82</v>
      </c>
      <c r="AH280" s="3">
        <v>1</v>
      </c>
      <c r="AI280" s="3">
        <v>1</v>
      </c>
      <c r="AJ280" s="3">
        <v>1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1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1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7" t="s">
        <v>815</v>
      </c>
      <c r="BX280" s="7" t="s">
        <v>816</v>
      </c>
    </row>
    <row r="281" spans="1:76">
      <c r="A281" s="3" t="s">
        <v>817</v>
      </c>
      <c r="B281" s="3">
        <v>3115</v>
      </c>
      <c r="C281" s="3" t="s">
        <v>818</v>
      </c>
      <c r="D281" s="3">
        <v>5</v>
      </c>
      <c r="E281" s="4">
        <v>20</v>
      </c>
      <c r="F281" s="3" t="s">
        <v>87</v>
      </c>
      <c r="G281" s="3">
        <v>1</v>
      </c>
      <c r="H281" s="3">
        <v>0</v>
      </c>
      <c r="I281" s="4">
        <v>820</v>
      </c>
      <c r="J281" s="4">
        <v>304</v>
      </c>
      <c r="K281" s="4">
        <v>1124</v>
      </c>
      <c r="L281" s="5">
        <f>IF(F281="F",65.79,IF(F281="M",79.94,""))</f>
        <v>65.790000000000006</v>
      </c>
      <c r="M281" s="3">
        <f t="shared" si="28"/>
        <v>1</v>
      </c>
      <c r="N281" s="3" t="str">
        <f t="shared" si="29"/>
        <v>VSC-halitosis</v>
      </c>
      <c r="O281" s="3" t="str">
        <f t="shared" si="30"/>
        <v>Clinical+ / VSC+</v>
      </c>
      <c r="P281" s="5">
        <f t="shared" si="31"/>
        <v>7.0246490304536362</v>
      </c>
      <c r="Q281" s="5">
        <f t="shared" si="32"/>
        <v>6.7105231094524278</v>
      </c>
      <c r="R281" s="5">
        <f t="shared" si="32"/>
        <v>5.7203117766074119</v>
      </c>
      <c r="S281" s="5">
        <f t="shared" si="33"/>
        <v>0.27046263345195731</v>
      </c>
      <c r="T281" s="3">
        <f t="shared" si="34"/>
        <v>0</v>
      </c>
      <c r="U281" s="3" t="s">
        <v>96</v>
      </c>
      <c r="V281" s="3">
        <v>3</v>
      </c>
      <c r="W281" s="6">
        <v>6.2</v>
      </c>
      <c r="X281" s="4">
        <v>8</v>
      </c>
      <c r="Y281" s="5">
        <v>0.5</v>
      </c>
      <c r="Z281" s="5">
        <v>1</v>
      </c>
      <c r="AA281" s="3" t="s">
        <v>80</v>
      </c>
      <c r="AB281" s="3">
        <v>0</v>
      </c>
      <c r="AC281" s="3" t="s">
        <v>81</v>
      </c>
      <c r="AD281" s="3">
        <v>0</v>
      </c>
      <c r="AE281" s="3" t="s">
        <v>82</v>
      </c>
      <c r="AF281" s="3">
        <v>1</v>
      </c>
      <c r="AG281" s="3" t="s">
        <v>98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7" t="s">
        <v>119</v>
      </c>
      <c r="BX281" s="7" t="s">
        <v>119</v>
      </c>
    </row>
    <row r="282" spans="1:76">
      <c r="A282" s="3" t="s">
        <v>819</v>
      </c>
      <c r="B282" s="3">
        <v>3115</v>
      </c>
      <c r="C282" s="3" t="s">
        <v>818</v>
      </c>
      <c r="D282" s="3">
        <v>5</v>
      </c>
      <c r="E282" s="4">
        <v>20</v>
      </c>
      <c r="F282" s="3" t="s">
        <v>87</v>
      </c>
      <c r="G282" s="3">
        <v>1</v>
      </c>
      <c r="H282" s="3">
        <v>0</v>
      </c>
      <c r="I282" s="4">
        <v>765</v>
      </c>
      <c r="J282" s="4">
        <v>300</v>
      </c>
      <c r="K282" s="4">
        <v>1065</v>
      </c>
      <c r="L282" s="5">
        <f>IF(F282="F",65.79,IF(F282="M",79.94,""))</f>
        <v>65.790000000000006</v>
      </c>
      <c r="M282" s="3">
        <f t="shared" si="28"/>
        <v>1</v>
      </c>
      <c r="N282" s="3" t="str">
        <f t="shared" si="29"/>
        <v>VSC-halitosis</v>
      </c>
      <c r="O282" s="3" t="str">
        <f t="shared" si="30"/>
        <v>Clinical+ / VSC+</v>
      </c>
      <c r="P282" s="5">
        <f t="shared" si="31"/>
        <v>6.9707300781435251</v>
      </c>
      <c r="Q282" s="5">
        <f t="shared" si="32"/>
        <v>6.6411821697405911</v>
      </c>
      <c r="R282" s="5">
        <f t="shared" si="32"/>
        <v>5.7071102647488754</v>
      </c>
      <c r="S282" s="5">
        <f t="shared" si="33"/>
        <v>0.28169014084507044</v>
      </c>
      <c r="T282" s="3">
        <f t="shared" si="34"/>
        <v>0</v>
      </c>
      <c r="U282" s="3" t="s">
        <v>96</v>
      </c>
      <c r="V282" s="3">
        <v>3</v>
      </c>
      <c r="W282" s="6">
        <v>6.2</v>
      </c>
      <c r="X282" s="4">
        <v>8</v>
      </c>
      <c r="Y282" s="5">
        <v>0.5</v>
      </c>
      <c r="Z282" s="5">
        <v>1</v>
      </c>
      <c r="AA282" s="3" t="s">
        <v>80</v>
      </c>
      <c r="AB282" s="3">
        <v>0</v>
      </c>
      <c r="AC282" s="3" t="s">
        <v>81</v>
      </c>
      <c r="AD282" s="3">
        <v>0</v>
      </c>
      <c r="AE282" s="3" t="s">
        <v>82</v>
      </c>
      <c r="AF282" s="3">
        <v>1</v>
      </c>
      <c r="AG282" s="3" t="s">
        <v>98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7" t="s">
        <v>119</v>
      </c>
      <c r="BX282" s="7" t="s">
        <v>119</v>
      </c>
    </row>
    <row r="283" spans="1:76">
      <c r="A283" s="3" t="s">
        <v>820</v>
      </c>
      <c r="B283" s="3">
        <v>3115</v>
      </c>
      <c r="C283" s="3" t="s">
        <v>818</v>
      </c>
      <c r="D283" s="3">
        <v>5</v>
      </c>
      <c r="E283" s="4">
        <v>22</v>
      </c>
      <c r="F283" s="3" t="s">
        <v>87</v>
      </c>
      <c r="G283" s="3">
        <v>1</v>
      </c>
      <c r="H283" s="3">
        <v>0</v>
      </c>
      <c r="I283" s="4">
        <v>239</v>
      </c>
      <c r="J283" s="4">
        <v>127</v>
      </c>
      <c r="K283" s="4">
        <v>366</v>
      </c>
      <c r="L283" s="5">
        <f>IF(F283="F",65.79,IF(F283="M",79.94,""))</f>
        <v>65.790000000000006</v>
      </c>
      <c r="M283" s="3">
        <f t="shared" si="28"/>
        <v>1</v>
      </c>
      <c r="N283" s="3" t="str">
        <f t="shared" si="29"/>
        <v>VSC-halitosis</v>
      </c>
      <c r="O283" s="3" t="str">
        <f t="shared" si="30"/>
        <v>Clinical+ / VSC+</v>
      </c>
      <c r="P283" s="5">
        <f t="shared" si="31"/>
        <v>5.9026333334013659</v>
      </c>
      <c r="Q283" s="5">
        <f t="shared" si="32"/>
        <v>5.4806389233419912</v>
      </c>
      <c r="R283" s="5">
        <f t="shared" si="32"/>
        <v>4.8520302639196169</v>
      </c>
      <c r="S283" s="5">
        <f t="shared" si="33"/>
        <v>0.34699453551912568</v>
      </c>
      <c r="T283" s="3">
        <f t="shared" si="34"/>
        <v>0</v>
      </c>
      <c r="U283" s="3" t="s">
        <v>96</v>
      </c>
      <c r="V283" s="3">
        <v>3</v>
      </c>
      <c r="W283" s="6">
        <v>6.2</v>
      </c>
      <c r="X283" s="4">
        <v>8</v>
      </c>
      <c r="Y283" s="5">
        <v>0.5</v>
      </c>
      <c r="Z283" s="5">
        <v>1</v>
      </c>
      <c r="AA283" s="3" t="s">
        <v>80</v>
      </c>
      <c r="AB283" s="3">
        <v>0</v>
      </c>
      <c r="AC283" s="3" t="s">
        <v>81</v>
      </c>
      <c r="AD283" s="3">
        <v>0</v>
      </c>
      <c r="AE283" s="3" t="s">
        <v>82</v>
      </c>
      <c r="AF283" s="3">
        <v>1</v>
      </c>
      <c r="AG283" s="3" t="s">
        <v>98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7" t="s">
        <v>119</v>
      </c>
      <c r="BX283" s="7" t="s">
        <v>119</v>
      </c>
    </row>
    <row r="284" spans="1:76">
      <c r="A284" s="3" t="s">
        <v>821</v>
      </c>
      <c r="B284" s="3">
        <v>3115</v>
      </c>
      <c r="C284" s="3" t="s">
        <v>818</v>
      </c>
      <c r="D284" s="3">
        <v>5</v>
      </c>
      <c r="E284" s="4">
        <v>20</v>
      </c>
      <c r="F284" s="3" t="s">
        <v>87</v>
      </c>
      <c r="G284" s="3">
        <v>1</v>
      </c>
      <c r="H284" s="3">
        <v>0</v>
      </c>
      <c r="I284" s="4">
        <v>2</v>
      </c>
      <c r="J284" s="4">
        <v>1</v>
      </c>
      <c r="K284" s="4">
        <v>3</v>
      </c>
      <c r="L284" s="5">
        <f>IF(F284="F",65.79,IF(F284="M",79.94,""))</f>
        <v>65.790000000000006</v>
      </c>
      <c r="M284" s="3">
        <f t="shared" si="28"/>
        <v>0</v>
      </c>
      <c r="N284" s="3" t="str">
        <f t="shared" si="29"/>
        <v>VSC-non-halitosis</v>
      </c>
      <c r="O284" s="3" t="str">
        <f t="shared" si="30"/>
        <v>Clinical+ / VSC-</v>
      </c>
      <c r="P284" s="5">
        <f t="shared" si="31"/>
        <v>1.0986122886681098</v>
      </c>
      <c r="Q284" s="5">
        <f t="shared" si="32"/>
        <v>1.0986122886681098</v>
      </c>
      <c r="R284" s="5">
        <f t="shared" si="32"/>
        <v>0.69314718055994529</v>
      </c>
      <c r="S284" s="5">
        <f t="shared" si="33"/>
        <v>0.33333333333333331</v>
      </c>
      <c r="T284" s="3">
        <f t="shared" si="34"/>
        <v>0</v>
      </c>
      <c r="U284" s="3" t="s">
        <v>102</v>
      </c>
      <c r="V284" s="3">
        <v>1</v>
      </c>
      <c r="W284" s="6">
        <v>6.2</v>
      </c>
      <c r="X284" s="4">
        <v>8</v>
      </c>
      <c r="Y284" s="5">
        <v>0.5</v>
      </c>
      <c r="Z284" s="5">
        <v>1</v>
      </c>
      <c r="AA284" s="3" t="s">
        <v>80</v>
      </c>
      <c r="AB284" s="3">
        <v>0</v>
      </c>
      <c r="AC284" s="3" t="s">
        <v>81</v>
      </c>
      <c r="AD284" s="3">
        <v>0</v>
      </c>
      <c r="AE284" s="3" t="s">
        <v>82</v>
      </c>
      <c r="AF284" s="3">
        <v>1</v>
      </c>
      <c r="AG284" s="3" t="s">
        <v>98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7" t="s">
        <v>119</v>
      </c>
      <c r="BX284" s="7" t="s">
        <v>119</v>
      </c>
    </row>
    <row r="285" spans="1:76">
      <c r="A285" s="3" t="s">
        <v>822</v>
      </c>
      <c r="B285" s="3">
        <v>3115</v>
      </c>
      <c r="C285" s="3" t="s">
        <v>818</v>
      </c>
      <c r="D285" s="3">
        <v>5</v>
      </c>
      <c r="E285" s="4">
        <v>20</v>
      </c>
      <c r="F285" s="3" t="s">
        <v>87</v>
      </c>
      <c r="G285" s="3">
        <v>1</v>
      </c>
      <c r="H285" s="3">
        <v>0</v>
      </c>
      <c r="I285" s="4">
        <v>65</v>
      </c>
      <c r="J285" s="4">
        <v>9</v>
      </c>
      <c r="K285" s="4">
        <v>74</v>
      </c>
      <c r="L285" s="5">
        <f>IF(F285="F",65.79,IF(F285="M",79.94,""))</f>
        <v>65.790000000000006</v>
      </c>
      <c r="M285" s="3">
        <f t="shared" si="28"/>
        <v>1</v>
      </c>
      <c r="N285" s="3" t="str">
        <f t="shared" si="29"/>
        <v>VSC-halitosis</v>
      </c>
      <c r="O285" s="3" t="str">
        <f t="shared" si="30"/>
        <v>Clinical+ / VSC+</v>
      </c>
      <c r="P285" s="5">
        <f t="shared" si="31"/>
        <v>4.3040650932041702</v>
      </c>
      <c r="Q285" s="5">
        <f t="shared" si="32"/>
        <v>4.1896547420264252</v>
      </c>
      <c r="R285" s="5">
        <f t="shared" si="32"/>
        <v>2.3025850929940459</v>
      </c>
      <c r="S285" s="5">
        <f t="shared" si="33"/>
        <v>0.12162162162162163</v>
      </c>
      <c r="T285" s="3">
        <f t="shared" si="34"/>
        <v>0</v>
      </c>
      <c r="U285" s="3" t="s">
        <v>96</v>
      </c>
      <c r="V285" s="3">
        <v>3</v>
      </c>
      <c r="W285" s="6">
        <v>6.2</v>
      </c>
      <c r="X285" s="4">
        <v>8</v>
      </c>
      <c r="Y285" s="5">
        <v>0.5</v>
      </c>
      <c r="Z285" s="5">
        <v>1</v>
      </c>
      <c r="AA285" s="3" t="s">
        <v>80</v>
      </c>
      <c r="AB285" s="3">
        <v>0</v>
      </c>
      <c r="AC285" s="3" t="s">
        <v>81</v>
      </c>
      <c r="AD285" s="3">
        <v>0</v>
      </c>
      <c r="AE285" s="3" t="s">
        <v>82</v>
      </c>
      <c r="AF285" s="3">
        <v>1</v>
      </c>
      <c r="AG285" s="3" t="s">
        <v>98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7" t="s">
        <v>119</v>
      </c>
      <c r="BX285" s="7" t="s">
        <v>119</v>
      </c>
    </row>
    <row r="286" spans="1:76">
      <c r="A286" s="3" t="s">
        <v>823</v>
      </c>
      <c r="B286" s="3">
        <v>2968</v>
      </c>
      <c r="C286" s="3" t="s">
        <v>824</v>
      </c>
      <c r="D286" s="3">
        <v>4</v>
      </c>
      <c r="E286" s="4">
        <v>58</v>
      </c>
      <c r="F286" s="3" t="s">
        <v>87</v>
      </c>
      <c r="G286" s="3">
        <v>0</v>
      </c>
      <c r="H286" s="3">
        <v>0</v>
      </c>
      <c r="I286" s="4">
        <v>0</v>
      </c>
      <c r="J286" s="4">
        <v>5</v>
      </c>
      <c r="K286" s="4">
        <v>5</v>
      </c>
      <c r="L286" s="5">
        <f>IF(F286="F",65.79,IF(F286="M",79.94,""))</f>
        <v>65.790000000000006</v>
      </c>
      <c r="M286" s="3">
        <f t="shared" si="28"/>
        <v>0</v>
      </c>
      <c r="N286" s="3" t="str">
        <f t="shared" si="29"/>
        <v>VSC-non-halitosis</v>
      </c>
      <c r="O286" s="3" t="str">
        <f t="shared" si="30"/>
        <v>Clinical- / VSC-</v>
      </c>
      <c r="P286" s="5">
        <f t="shared" si="31"/>
        <v>1.6094379124341003</v>
      </c>
      <c r="Q286" s="5">
        <f t="shared" si="32"/>
        <v>0</v>
      </c>
      <c r="R286" s="5">
        <f t="shared" si="32"/>
        <v>1.791759469228055</v>
      </c>
      <c r="S286" s="5">
        <f t="shared" si="33"/>
        <v>1</v>
      </c>
      <c r="T286" s="3">
        <f t="shared" si="34"/>
        <v>1</v>
      </c>
      <c r="U286" s="3" t="s">
        <v>79</v>
      </c>
      <c r="V286" s="3">
        <v>2</v>
      </c>
      <c r="W286" s="6">
        <v>6.2</v>
      </c>
      <c r="X286" s="4">
        <v>7</v>
      </c>
      <c r="Y286" s="5">
        <v>0.1</v>
      </c>
      <c r="Z286" s="5">
        <v>0.6</v>
      </c>
      <c r="AA286" s="3" t="s">
        <v>80</v>
      </c>
      <c r="AB286" s="3">
        <v>0</v>
      </c>
      <c r="AC286" s="3" t="s">
        <v>81</v>
      </c>
      <c r="AD286" s="3">
        <v>0</v>
      </c>
      <c r="AE286" s="3" t="s">
        <v>82</v>
      </c>
      <c r="AF286" s="3">
        <v>1</v>
      </c>
      <c r="AG286" s="3" t="s">
        <v>80</v>
      </c>
      <c r="AH286" s="3">
        <v>0</v>
      </c>
      <c r="AI286" s="3">
        <v>1</v>
      </c>
      <c r="AJ286" s="3">
        <v>1</v>
      </c>
      <c r="AK286" s="3">
        <v>0</v>
      </c>
      <c r="AL286" s="3">
        <v>0</v>
      </c>
      <c r="AM286" s="3">
        <v>0</v>
      </c>
      <c r="AN286" s="3">
        <v>1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1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7" t="s">
        <v>119</v>
      </c>
      <c r="BX286" s="7" t="s">
        <v>825</v>
      </c>
    </row>
    <row r="287" spans="1:76" ht="34">
      <c r="A287" s="3" t="s">
        <v>826</v>
      </c>
      <c r="B287" s="3">
        <v>5860</v>
      </c>
      <c r="C287" s="3" t="s">
        <v>824</v>
      </c>
      <c r="D287" s="3">
        <v>4</v>
      </c>
      <c r="E287" s="4">
        <v>58</v>
      </c>
      <c r="F287" s="3" t="s">
        <v>87</v>
      </c>
      <c r="G287" s="3">
        <v>0</v>
      </c>
      <c r="H287" s="3">
        <v>0</v>
      </c>
      <c r="I287" s="4">
        <v>0</v>
      </c>
      <c r="J287" s="4">
        <v>5</v>
      </c>
      <c r="K287" s="4">
        <v>5</v>
      </c>
      <c r="L287" s="5">
        <f>IF(F287="F",65.79,IF(F287="M",79.94,""))</f>
        <v>65.790000000000006</v>
      </c>
      <c r="M287" s="3">
        <f t="shared" si="28"/>
        <v>0</v>
      </c>
      <c r="N287" s="3" t="str">
        <f t="shared" si="29"/>
        <v>VSC-non-halitosis</v>
      </c>
      <c r="O287" s="3" t="str">
        <f t="shared" si="30"/>
        <v>Clinical- / VSC-</v>
      </c>
      <c r="P287" s="5">
        <f t="shared" si="31"/>
        <v>1.6094379124341003</v>
      </c>
      <c r="Q287" s="5">
        <f t="shared" si="32"/>
        <v>0</v>
      </c>
      <c r="R287" s="5">
        <f t="shared" si="32"/>
        <v>1.791759469228055</v>
      </c>
      <c r="S287" s="5">
        <f t="shared" si="33"/>
        <v>1</v>
      </c>
      <c r="T287" s="3">
        <f t="shared" si="34"/>
        <v>1</v>
      </c>
      <c r="U287" s="3" t="s">
        <v>79</v>
      </c>
      <c r="V287" s="3">
        <v>2</v>
      </c>
      <c r="W287" s="6">
        <v>6.2</v>
      </c>
      <c r="X287" s="4">
        <v>7</v>
      </c>
      <c r="Y287" s="5">
        <v>0.1</v>
      </c>
      <c r="Z287" s="5">
        <v>0.6</v>
      </c>
      <c r="AA287" s="3" t="s">
        <v>108</v>
      </c>
      <c r="AB287" s="3">
        <v>1</v>
      </c>
      <c r="AC287" s="3" t="s">
        <v>81</v>
      </c>
      <c r="AD287" s="3">
        <v>0</v>
      </c>
      <c r="AE287" s="3" t="s">
        <v>82</v>
      </c>
      <c r="AF287" s="3">
        <v>1</v>
      </c>
      <c r="AG287" s="3" t="s">
        <v>103</v>
      </c>
      <c r="AH287" s="3">
        <v>1</v>
      </c>
      <c r="AI287" s="3">
        <v>0</v>
      </c>
      <c r="AJ287" s="3">
        <v>5</v>
      </c>
      <c r="AK287" s="3">
        <v>4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1</v>
      </c>
      <c r="BJ287" s="3">
        <v>1</v>
      </c>
      <c r="BK287" s="3">
        <v>0</v>
      </c>
      <c r="BL287" s="3">
        <v>0</v>
      </c>
      <c r="BM287" s="3">
        <v>0</v>
      </c>
      <c r="BN287" s="3">
        <v>1</v>
      </c>
      <c r="BO287" s="3">
        <v>0</v>
      </c>
      <c r="BP287" s="3">
        <v>1</v>
      </c>
      <c r="BQ287" s="3">
        <v>0</v>
      </c>
      <c r="BR287" s="3">
        <v>0</v>
      </c>
      <c r="BS287" s="3">
        <v>1</v>
      </c>
      <c r="BT287" s="3">
        <v>0</v>
      </c>
      <c r="BU287" s="3">
        <v>0</v>
      </c>
      <c r="BV287" s="3">
        <v>0</v>
      </c>
      <c r="BW287" s="7" t="s">
        <v>827</v>
      </c>
      <c r="BX287" s="7"/>
    </row>
    <row r="288" spans="1:76">
      <c r="A288" s="3" t="s">
        <v>828</v>
      </c>
      <c r="B288" s="3">
        <v>2968</v>
      </c>
      <c r="C288" s="3" t="s">
        <v>824</v>
      </c>
      <c r="D288" s="3">
        <v>4</v>
      </c>
      <c r="E288" s="4">
        <v>62</v>
      </c>
      <c r="F288" s="3" t="s">
        <v>87</v>
      </c>
      <c r="G288" s="3">
        <v>0</v>
      </c>
      <c r="H288" s="3">
        <v>0</v>
      </c>
      <c r="I288" s="4">
        <v>1</v>
      </c>
      <c r="J288" s="4">
        <v>0</v>
      </c>
      <c r="K288" s="4">
        <v>1</v>
      </c>
      <c r="L288" s="5">
        <f>IF(F288="F",65.79,IF(F288="M",79.94,""))</f>
        <v>65.790000000000006</v>
      </c>
      <c r="M288" s="3">
        <f t="shared" si="28"/>
        <v>0</v>
      </c>
      <c r="N288" s="3" t="str">
        <f t="shared" si="29"/>
        <v>VSC-non-halitosis</v>
      </c>
      <c r="O288" s="3" t="str">
        <f t="shared" si="30"/>
        <v>Clinical- / VSC-</v>
      </c>
      <c r="P288" s="5">
        <f t="shared" si="31"/>
        <v>0</v>
      </c>
      <c r="Q288" s="5">
        <f t="shared" si="32"/>
        <v>0.69314718055994529</v>
      </c>
      <c r="R288" s="5">
        <f t="shared" si="32"/>
        <v>0</v>
      </c>
      <c r="S288" s="5">
        <f t="shared" si="33"/>
        <v>0</v>
      </c>
      <c r="T288" s="3">
        <f t="shared" si="34"/>
        <v>0</v>
      </c>
      <c r="U288" s="3" t="s">
        <v>102</v>
      </c>
      <c r="V288" s="3">
        <v>1</v>
      </c>
      <c r="W288" s="6">
        <v>6.2</v>
      </c>
      <c r="X288" s="4">
        <v>7</v>
      </c>
      <c r="Y288" s="5">
        <v>0.1</v>
      </c>
      <c r="Z288" s="5">
        <v>0.6</v>
      </c>
      <c r="AA288" s="3" t="s">
        <v>80</v>
      </c>
      <c r="AB288" s="3">
        <v>0</v>
      </c>
      <c r="AC288" s="3" t="s">
        <v>81</v>
      </c>
      <c r="AD288" s="3">
        <v>0</v>
      </c>
      <c r="AE288" s="3" t="s">
        <v>82</v>
      </c>
      <c r="AF288" s="3">
        <v>1</v>
      </c>
      <c r="AG288" s="3" t="s">
        <v>80</v>
      </c>
      <c r="AH288" s="3">
        <v>0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  <c r="AN288" s="3">
        <v>1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1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7" t="s">
        <v>119</v>
      </c>
      <c r="BX288" s="7" t="s">
        <v>825</v>
      </c>
    </row>
    <row r="289" spans="1:76" ht="34">
      <c r="A289" s="3" t="s">
        <v>829</v>
      </c>
      <c r="B289" s="3">
        <v>5860</v>
      </c>
      <c r="C289" s="3" t="s">
        <v>824</v>
      </c>
      <c r="D289" s="3">
        <v>4</v>
      </c>
      <c r="E289" s="4">
        <v>62</v>
      </c>
      <c r="F289" s="3" t="s">
        <v>87</v>
      </c>
      <c r="G289" s="3">
        <v>0</v>
      </c>
      <c r="H289" s="3">
        <v>0</v>
      </c>
      <c r="I289" s="4">
        <v>1</v>
      </c>
      <c r="J289" s="4">
        <v>0</v>
      </c>
      <c r="K289" s="4">
        <v>1</v>
      </c>
      <c r="L289" s="5">
        <f>IF(F289="F",65.79,IF(F289="M",79.94,""))</f>
        <v>65.790000000000006</v>
      </c>
      <c r="M289" s="3">
        <f t="shared" si="28"/>
        <v>0</v>
      </c>
      <c r="N289" s="3" t="str">
        <f t="shared" si="29"/>
        <v>VSC-non-halitosis</v>
      </c>
      <c r="O289" s="3" t="str">
        <f t="shared" si="30"/>
        <v>Clinical- / VSC-</v>
      </c>
      <c r="P289" s="5">
        <f t="shared" si="31"/>
        <v>0</v>
      </c>
      <c r="Q289" s="5">
        <f t="shared" si="32"/>
        <v>0.69314718055994529</v>
      </c>
      <c r="R289" s="5">
        <f t="shared" si="32"/>
        <v>0</v>
      </c>
      <c r="S289" s="5">
        <f t="shared" si="33"/>
        <v>0</v>
      </c>
      <c r="T289" s="3">
        <f t="shared" si="34"/>
        <v>0</v>
      </c>
      <c r="U289" s="3" t="s">
        <v>102</v>
      </c>
      <c r="V289" s="3">
        <v>1</v>
      </c>
      <c r="W289" s="6">
        <v>6.2</v>
      </c>
      <c r="X289" s="4">
        <v>7</v>
      </c>
      <c r="Y289" s="5">
        <v>0.1</v>
      </c>
      <c r="Z289" s="5">
        <v>0.6</v>
      </c>
      <c r="AA289" s="3" t="s">
        <v>108</v>
      </c>
      <c r="AB289" s="3">
        <v>1</v>
      </c>
      <c r="AC289" s="3" t="s">
        <v>81</v>
      </c>
      <c r="AD289" s="3">
        <v>0</v>
      </c>
      <c r="AE289" s="3" t="s">
        <v>82</v>
      </c>
      <c r="AF289" s="3">
        <v>1</v>
      </c>
      <c r="AG289" s="3" t="s">
        <v>103</v>
      </c>
      <c r="AH289" s="3">
        <v>1</v>
      </c>
      <c r="AI289" s="3">
        <v>0</v>
      </c>
      <c r="AJ289" s="3">
        <v>5</v>
      </c>
      <c r="AK289" s="3">
        <v>4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1</v>
      </c>
      <c r="BJ289" s="3">
        <v>1</v>
      </c>
      <c r="BK289" s="3">
        <v>0</v>
      </c>
      <c r="BL289" s="3">
        <v>0</v>
      </c>
      <c r="BM289" s="3">
        <v>0</v>
      </c>
      <c r="BN289" s="3">
        <v>1</v>
      </c>
      <c r="BO289" s="3">
        <v>0</v>
      </c>
      <c r="BP289" s="3">
        <v>1</v>
      </c>
      <c r="BQ289" s="3">
        <v>0</v>
      </c>
      <c r="BR289" s="3">
        <v>0</v>
      </c>
      <c r="BS289" s="3">
        <v>1</v>
      </c>
      <c r="BT289" s="3">
        <v>0</v>
      </c>
      <c r="BU289" s="3">
        <v>0</v>
      </c>
      <c r="BV289" s="3">
        <v>0</v>
      </c>
      <c r="BW289" s="7" t="s">
        <v>827</v>
      </c>
      <c r="BX289" s="7"/>
    </row>
    <row r="290" spans="1:76">
      <c r="A290" s="3" t="s">
        <v>830</v>
      </c>
      <c r="B290" s="3">
        <v>2992</v>
      </c>
      <c r="C290" s="3" t="s">
        <v>831</v>
      </c>
      <c r="D290" s="3">
        <v>1</v>
      </c>
      <c r="E290" s="4">
        <v>64</v>
      </c>
      <c r="F290" s="3" t="s">
        <v>78</v>
      </c>
      <c r="G290" s="3">
        <v>0</v>
      </c>
      <c r="H290" s="3">
        <v>0</v>
      </c>
      <c r="I290" s="4">
        <v>32</v>
      </c>
      <c r="J290" s="4">
        <v>13</v>
      </c>
      <c r="K290" s="4">
        <v>45</v>
      </c>
      <c r="L290" s="5">
        <f>IF(F290="F",65.79,IF(F290="M",79.94,""))</f>
        <v>79.94</v>
      </c>
      <c r="M290" s="3">
        <f t="shared" si="28"/>
        <v>0</v>
      </c>
      <c r="N290" s="3" t="str">
        <f t="shared" si="29"/>
        <v>VSC-non-halitosis</v>
      </c>
      <c r="O290" s="3" t="str">
        <f t="shared" si="30"/>
        <v>Clinical- / VSC-</v>
      </c>
      <c r="P290" s="5">
        <f t="shared" si="31"/>
        <v>3.8066624897703196</v>
      </c>
      <c r="Q290" s="5">
        <f t="shared" si="32"/>
        <v>3.4965075614664802</v>
      </c>
      <c r="R290" s="5">
        <f t="shared" si="32"/>
        <v>2.6390573296152584</v>
      </c>
      <c r="S290" s="5">
        <f t="shared" si="33"/>
        <v>0.28888888888888886</v>
      </c>
      <c r="T290" s="3">
        <f t="shared" si="34"/>
        <v>0</v>
      </c>
      <c r="U290" s="3" t="s">
        <v>96</v>
      </c>
      <c r="V290" s="3">
        <v>3</v>
      </c>
      <c r="W290" s="6">
        <v>6.6</v>
      </c>
      <c r="X290" s="4">
        <v>9</v>
      </c>
      <c r="Y290" s="5">
        <v>0.3</v>
      </c>
      <c r="Z290" s="5">
        <v>1.6</v>
      </c>
      <c r="AA290" s="3" t="s">
        <v>80</v>
      </c>
      <c r="AB290" s="3">
        <v>0</v>
      </c>
      <c r="AC290" s="3" t="s">
        <v>113</v>
      </c>
      <c r="AD290" s="3">
        <v>0</v>
      </c>
      <c r="AE290" s="3" t="s">
        <v>82</v>
      </c>
      <c r="AF290" s="3">
        <v>1</v>
      </c>
      <c r="AG290" s="3" t="s">
        <v>80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7" t="s">
        <v>119</v>
      </c>
      <c r="BX290" s="7" t="s">
        <v>119</v>
      </c>
    </row>
    <row r="291" spans="1:76">
      <c r="A291" s="3" t="s">
        <v>832</v>
      </c>
      <c r="B291" s="3">
        <v>3001</v>
      </c>
      <c r="C291" s="3" t="s">
        <v>833</v>
      </c>
      <c r="D291" s="3">
        <v>1</v>
      </c>
      <c r="E291" s="4">
        <v>47</v>
      </c>
      <c r="F291" s="3" t="s">
        <v>87</v>
      </c>
      <c r="G291" s="3">
        <v>0</v>
      </c>
      <c r="H291" s="3">
        <v>0</v>
      </c>
      <c r="I291" s="4">
        <v>1</v>
      </c>
      <c r="J291" s="4">
        <v>0</v>
      </c>
      <c r="K291" s="4">
        <v>1</v>
      </c>
      <c r="L291" s="5">
        <f>IF(F291="F",65.79,IF(F291="M",79.94,""))</f>
        <v>65.790000000000006</v>
      </c>
      <c r="M291" s="3">
        <f t="shared" si="28"/>
        <v>0</v>
      </c>
      <c r="N291" s="3" t="str">
        <f t="shared" si="29"/>
        <v>VSC-non-halitosis</v>
      </c>
      <c r="O291" s="3" t="str">
        <f t="shared" si="30"/>
        <v>Clinical- / VSC-</v>
      </c>
      <c r="P291" s="5">
        <f t="shared" si="31"/>
        <v>0</v>
      </c>
      <c r="Q291" s="5">
        <f t="shared" si="32"/>
        <v>0.69314718055994529</v>
      </c>
      <c r="R291" s="5">
        <f t="shared" si="32"/>
        <v>0</v>
      </c>
      <c r="S291" s="5">
        <f t="shared" si="33"/>
        <v>0</v>
      </c>
      <c r="T291" s="3">
        <f t="shared" si="34"/>
        <v>0</v>
      </c>
      <c r="U291" s="3" t="s">
        <v>102</v>
      </c>
      <c r="V291" s="3">
        <v>1</v>
      </c>
      <c r="W291" s="6">
        <v>6.6</v>
      </c>
      <c r="X291" s="4">
        <v>12</v>
      </c>
      <c r="Y291" s="5">
        <v>0.2</v>
      </c>
      <c r="Z291" s="5">
        <v>0.5</v>
      </c>
      <c r="AA291" s="3" t="s">
        <v>80</v>
      </c>
      <c r="AB291" s="3">
        <v>0</v>
      </c>
      <c r="AC291" s="3" t="s">
        <v>89</v>
      </c>
      <c r="AD291" s="3">
        <v>1</v>
      </c>
      <c r="AE291" s="3" t="s">
        <v>82</v>
      </c>
      <c r="AF291" s="3">
        <v>1</v>
      </c>
      <c r="AG291" s="3" t="s">
        <v>80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7" t="s">
        <v>119</v>
      </c>
      <c r="BX291" s="7" t="s">
        <v>119</v>
      </c>
    </row>
    <row r="292" spans="1:76">
      <c r="A292" s="3" t="s">
        <v>834</v>
      </c>
      <c r="B292" s="3">
        <v>3022</v>
      </c>
      <c r="C292" s="3" t="s">
        <v>835</v>
      </c>
      <c r="D292" s="3">
        <v>1</v>
      </c>
      <c r="E292" s="4">
        <v>61</v>
      </c>
      <c r="F292" s="3" t="s">
        <v>87</v>
      </c>
      <c r="G292" s="3">
        <v>0</v>
      </c>
      <c r="H292" s="3">
        <v>0</v>
      </c>
      <c r="I292" s="4">
        <v>0</v>
      </c>
      <c r="J292" s="4">
        <v>1</v>
      </c>
      <c r="K292" s="4">
        <v>1</v>
      </c>
      <c r="L292" s="5">
        <f>IF(F292="F",65.79,IF(F292="M",79.94,""))</f>
        <v>65.790000000000006</v>
      </c>
      <c r="M292" s="3">
        <f t="shared" si="28"/>
        <v>0</v>
      </c>
      <c r="N292" s="3" t="str">
        <f t="shared" si="29"/>
        <v>VSC-non-halitosis</v>
      </c>
      <c r="O292" s="3" t="str">
        <f t="shared" si="30"/>
        <v>Clinical- / VSC-</v>
      </c>
      <c r="P292" s="5">
        <f t="shared" si="31"/>
        <v>0</v>
      </c>
      <c r="Q292" s="5">
        <f t="shared" si="32"/>
        <v>0</v>
      </c>
      <c r="R292" s="5">
        <f t="shared" si="32"/>
        <v>0.69314718055994529</v>
      </c>
      <c r="S292" s="5">
        <f t="shared" si="33"/>
        <v>1</v>
      </c>
      <c r="T292" s="3">
        <f t="shared" si="34"/>
        <v>1</v>
      </c>
      <c r="U292" s="3" t="s">
        <v>102</v>
      </c>
      <c r="V292" s="3">
        <v>1</v>
      </c>
      <c r="W292" s="6">
        <v>6.6</v>
      </c>
      <c r="X292" s="4">
        <v>12</v>
      </c>
      <c r="Y292" s="5">
        <v>0.1</v>
      </c>
      <c r="Z292" s="5">
        <v>0.8</v>
      </c>
      <c r="AA292" s="3" t="s">
        <v>80</v>
      </c>
      <c r="AB292" s="3">
        <v>0</v>
      </c>
      <c r="AC292" s="3" t="s">
        <v>81</v>
      </c>
      <c r="AD292" s="3">
        <v>0</v>
      </c>
      <c r="AE292" s="3" t="s">
        <v>82</v>
      </c>
      <c r="AF292" s="3">
        <v>1</v>
      </c>
      <c r="AG292" s="3" t="s">
        <v>80</v>
      </c>
      <c r="AH292" s="3">
        <v>0</v>
      </c>
      <c r="AI292" s="3">
        <v>1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1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7" t="s">
        <v>750</v>
      </c>
      <c r="BX292" s="7" t="s">
        <v>119</v>
      </c>
    </row>
    <row r="293" spans="1:76">
      <c r="A293" s="3" t="s">
        <v>836</v>
      </c>
      <c r="B293" s="3">
        <v>3023</v>
      </c>
      <c r="C293" s="3" t="s">
        <v>837</v>
      </c>
      <c r="D293" s="3">
        <v>1</v>
      </c>
      <c r="E293" s="4">
        <v>80</v>
      </c>
      <c r="F293" s="3" t="s">
        <v>87</v>
      </c>
      <c r="G293" s="3">
        <v>0</v>
      </c>
      <c r="H293" s="3">
        <v>0</v>
      </c>
      <c r="I293" s="4">
        <v>16</v>
      </c>
      <c r="J293" s="4">
        <v>28</v>
      </c>
      <c r="K293" s="4">
        <v>44</v>
      </c>
      <c r="L293" s="5">
        <f>IF(F293="F",65.79,IF(F293="M",79.94,""))</f>
        <v>65.790000000000006</v>
      </c>
      <c r="M293" s="3">
        <f t="shared" si="28"/>
        <v>0</v>
      </c>
      <c r="N293" s="3" t="str">
        <f t="shared" si="29"/>
        <v>VSC-non-halitosis</v>
      </c>
      <c r="O293" s="3" t="str">
        <f t="shared" si="30"/>
        <v>Clinical- / VSC-</v>
      </c>
      <c r="P293" s="5">
        <f t="shared" si="31"/>
        <v>3.784189633918261</v>
      </c>
      <c r="Q293" s="5">
        <f t="shared" si="32"/>
        <v>2.8332133440562162</v>
      </c>
      <c r="R293" s="5">
        <f t="shared" si="32"/>
        <v>3.3672958299864741</v>
      </c>
      <c r="S293" s="5">
        <f t="shared" si="33"/>
        <v>0.63636363636363635</v>
      </c>
      <c r="T293" s="3">
        <f t="shared" si="34"/>
        <v>1</v>
      </c>
      <c r="U293" s="3" t="s">
        <v>96</v>
      </c>
      <c r="V293" s="3">
        <v>3</v>
      </c>
      <c r="W293" s="6">
        <v>6.2</v>
      </c>
      <c r="X293" s="4">
        <v>12</v>
      </c>
      <c r="Y293" s="5">
        <v>0.3</v>
      </c>
      <c r="Z293" s="5">
        <v>1</v>
      </c>
      <c r="AA293" s="3" t="s">
        <v>80</v>
      </c>
      <c r="AB293" s="3">
        <v>0</v>
      </c>
      <c r="AC293" s="3" t="s">
        <v>81</v>
      </c>
      <c r="AD293" s="3">
        <v>0</v>
      </c>
      <c r="AE293" s="3" t="s">
        <v>82</v>
      </c>
      <c r="AF293" s="3">
        <v>1</v>
      </c>
      <c r="AG293" s="3" t="s">
        <v>82</v>
      </c>
      <c r="AH293" s="3">
        <v>1</v>
      </c>
      <c r="AI293" s="3">
        <v>3</v>
      </c>
      <c r="AJ293" s="3">
        <v>0</v>
      </c>
      <c r="AK293" s="3">
        <v>0</v>
      </c>
      <c r="AL293" s="3">
        <v>1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1</v>
      </c>
      <c r="AS293" s="3">
        <v>0</v>
      </c>
      <c r="AT293" s="3">
        <v>0</v>
      </c>
      <c r="AU293" s="3">
        <v>0</v>
      </c>
      <c r="AV293" s="3">
        <v>1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7" t="s">
        <v>838</v>
      </c>
      <c r="BX293" s="7" t="s">
        <v>119</v>
      </c>
    </row>
    <row r="294" spans="1:76">
      <c r="A294" s="3" t="s">
        <v>839</v>
      </c>
      <c r="B294" s="3">
        <v>4811</v>
      </c>
      <c r="C294" s="3" t="s">
        <v>840</v>
      </c>
      <c r="D294" s="3">
        <v>2</v>
      </c>
      <c r="E294" s="4">
        <v>78</v>
      </c>
      <c r="F294" s="3" t="s">
        <v>87</v>
      </c>
      <c r="G294" s="3">
        <v>0</v>
      </c>
      <c r="H294" s="3">
        <v>0</v>
      </c>
      <c r="I294" s="4">
        <v>1</v>
      </c>
      <c r="J294" s="4">
        <v>0</v>
      </c>
      <c r="K294" s="4">
        <v>1</v>
      </c>
      <c r="L294" s="5">
        <f>IF(F294="F",65.79,IF(F294="M",79.94,""))</f>
        <v>65.790000000000006</v>
      </c>
      <c r="M294" s="3">
        <f t="shared" si="28"/>
        <v>0</v>
      </c>
      <c r="N294" s="3" t="str">
        <f t="shared" si="29"/>
        <v>VSC-non-halitosis</v>
      </c>
      <c r="O294" s="3" t="str">
        <f t="shared" si="30"/>
        <v>Clinical- / VSC-</v>
      </c>
      <c r="P294" s="5">
        <f t="shared" si="31"/>
        <v>0</v>
      </c>
      <c r="Q294" s="5">
        <f t="shared" si="32"/>
        <v>0.69314718055994529</v>
      </c>
      <c r="R294" s="5">
        <f t="shared" si="32"/>
        <v>0</v>
      </c>
      <c r="S294" s="5">
        <f t="shared" si="33"/>
        <v>0</v>
      </c>
      <c r="T294" s="3">
        <f t="shared" si="34"/>
        <v>0</v>
      </c>
      <c r="U294" s="3" t="s">
        <v>102</v>
      </c>
      <c r="V294" s="3">
        <v>1</v>
      </c>
      <c r="W294" s="6">
        <v>6.2</v>
      </c>
      <c r="X294" s="4">
        <v>8</v>
      </c>
      <c r="Y294" s="5">
        <v>0.1</v>
      </c>
      <c r="Z294" s="5">
        <v>0.5</v>
      </c>
      <c r="AA294" s="3" t="s">
        <v>80</v>
      </c>
      <c r="AB294" s="3">
        <v>0</v>
      </c>
      <c r="AC294" s="3" t="s">
        <v>138</v>
      </c>
      <c r="AD294" s="3">
        <v>1</v>
      </c>
      <c r="AE294" s="3" t="s">
        <v>82</v>
      </c>
      <c r="AF294" s="3">
        <v>1</v>
      </c>
      <c r="AG294" s="3" t="s">
        <v>98</v>
      </c>
      <c r="AH294" s="3">
        <v>0</v>
      </c>
      <c r="AI294" s="3">
        <v>1</v>
      </c>
      <c r="AJ294" s="3">
        <v>0</v>
      </c>
      <c r="AK294" s="3">
        <v>0</v>
      </c>
      <c r="AL294" s="3">
        <v>1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7" t="s">
        <v>841</v>
      </c>
      <c r="BX294" s="7" t="s">
        <v>80</v>
      </c>
    </row>
    <row r="295" spans="1:76">
      <c r="A295" s="3" t="s">
        <v>842</v>
      </c>
      <c r="B295" s="3">
        <v>4811</v>
      </c>
      <c r="C295" s="3" t="s">
        <v>840</v>
      </c>
      <c r="D295" s="3">
        <v>2</v>
      </c>
      <c r="E295" s="4">
        <v>78</v>
      </c>
      <c r="F295" s="3" t="s">
        <v>87</v>
      </c>
      <c r="G295" s="3">
        <v>0</v>
      </c>
      <c r="H295" s="3">
        <v>0</v>
      </c>
      <c r="I295" s="4">
        <v>1</v>
      </c>
      <c r="J295" s="4">
        <v>0</v>
      </c>
      <c r="K295" s="4">
        <v>1</v>
      </c>
      <c r="L295" s="5">
        <f>IF(F295="F",65.79,IF(F295="M",79.94,""))</f>
        <v>65.790000000000006</v>
      </c>
      <c r="M295" s="3">
        <f t="shared" si="28"/>
        <v>0</v>
      </c>
      <c r="N295" s="3" t="str">
        <f t="shared" si="29"/>
        <v>VSC-non-halitosis</v>
      </c>
      <c r="O295" s="3" t="str">
        <f t="shared" si="30"/>
        <v>Clinical- / VSC-</v>
      </c>
      <c r="P295" s="5">
        <f t="shared" si="31"/>
        <v>0</v>
      </c>
      <c r="Q295" s="5">
        <f t="shared" si="32"/>
        <v>0.69314718055994529</v>
      </c>
      <c r="R295" s="5">
        <f t="shared" si="32"/>
        <v>0</v>
      </c>
      <c r="S295" s="5">
        <f t="shared" si="33"/>
        <v>0</v>
      </c>
      <c r="T295" s="3">
        <f t="shared" si="34"/>
        <v>0</v>
      </c>
      <c r="U295" s="3" t="s">
        <v>102</v>
      </c>
      <c r="V295" s="3">
        <v>1</v>
      </c>
      <c r="W295" s="6"/>
      <c r="X295" s="4">
        <v>10</v>
      </c>
      <c r="Y295" s="5">
        <v>0.1</v>
      </c>
      <c r="Z295" s="5">
        <v>1.5</v>
      </c>
      <c r="AA295" s="3" t="s">
        <v>80</v>
      </c>
      <c r="AB295" s="3">
        <v>0</v>
      </c>
      <c r="AC295" s="3" t="s">
        <v>138</v>
      </c>
      <c r="AD295" s="3">
        <v>1</v>
      </c>
      <c r="AE295" s="3" t="s">
        <v>82</v>
      </c>
      <c r="AF295" s="3">
        <v>1</v>
      </c>
      <c r="AG295" s="3" t="s">
        <v>98</v>
      </c>
      <c r="AH295" s="3">
        <v>0</v>
      </c>
      <c r="AI295" s="3">
        <v>1</v>
      </c>
      <c r="AJ295" s="3">
        <v>0</v>
      </c>
      <c r="AK295" s="3">
        <v>0</v>
      </c>
      <c r="AL295" s="3">
        <v>1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7" t="s">
        <v>841</v>
      </c>
      <c r="BX295" s="7" t="s">
        <v>80</v>
      </c>
    </row>
    <row r="296" spans="1:76">
      <c r="A296" s="3" t="s">
        <v>843</v>
      </c>
      <c r="B296" s="3">
        <v>3030</v>
      </c>
      <c r="C296" s="3" t="s">
        <v>844</v>
      </c>
      <c r="D296" s="3">
        <v>1</v>
      </c>
      <c r="E296" s="4">
        <v>49</v>
      </c>
      <c r="F296" s="3" t="s">
        <v>87</v>
      </c>
      <c r="G296" s="3">
        <v>0</v>
      </c>
      <c r="H296" s="3">
        <v>0</v>
      </c>
      <c r="I296" s="4">
        <v>412</v>
      </c>
      <c r="J296" s="4">
        <v>21</v>
      </c>
      <c r="K296" s="4">
        <v>433</v>
      </c>
      <c r="L296" s="5">
        <f>IF(F296="F",65.79,IF(F296="M",79.94,""))</f>
        <v>65.790000000000006</v>
      </c>
      <c r="M296" s="3">
        <f t="shared" si="28"/>
        <v>1</v>
      </c>
      <c r="N296" s="3" t="str">
        <f t="shared" si="29"/>
        <v>VSC-halitosis</v>
      </c>
      <c r="O296" s="3" t="str">
        <f t="shared" si="30"/>
        <v>Clinical- / VSC+</v>
      </c>
      <c r="P296" s="5">
        <f t="shared" si="31"/>
        <v>6.0707377280024897</v>
      </c>
      <c r="Q296" s="5">
        <f t="shared" si="32"/>
        <v>6.0234475929610332</v>
      </c>
      <c r="R296" s="5">
        <f t="shared" si="32"/>
        <v>3.0910424533583161</v>
      </c>
      <c r="S296" s="5">
        <f t="shared" si="33"/>
        <v>4.8498845265588918E-2</v>
      </c>
      <c r="T296" s="3">
        <f t="shared" si="34"/>
        <v>0</v>
      </c>
      <c r="U296" s="3" t="s">
        <v>96</v>
      </c>
      <c r="V296" s="3">
        <v>3</v>
      </c>
      <c r="W296" s="6">
        <v>6.4</v>
      </c>
      <c r="X296" s="4">
        <v>9</v>
      </c>
      <c r="Y296" s="5">
        <v>0.7</v>
      </c>
      <c r="Z296" s="5">
        <v>1.8</v>
      </c>
      <c r="AA296" s="3" t="s">
        <v>80</v>
      </c>
      <c r="AB296" s="3">
        <v>0</v>
      </c>
      <c r="AC296" s="3" t="s">
        <v>81</v>
      </c>
      <c r="AD296" s="3">
        <v>0</v>
      </c>
      <c r="AE296" s="3" t="s">
        <v>82</v>
      </c>
      <c r="AF296" s="3">
        <v>1</v>
      </c>
      <c r="AG296" s="3" t="s">
        <v>82</v>
      </c>
      <c r="AH296" s="3">
        <v>1</v>
      </c>
      <c r="AI296" s="3">
        <v>2</v>
      </c>
      <c r="AJ296" s="3">
        <v>0</v>
      </c>
      <c r="AK296" s="3">
        <v>0</v>
      </c>
      <c r="AL296" s="3">
        <v>1</v>
      </c>
      <c r="AM296" s="3">
        <v>0</v>
      </c>
      <c r="AN296" s="3">
        <v>0</v>
      </c>
      <c r="AO296" s="3">
        <v>1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7" t="s">
        <v>845</v>
      </c>
      <c r="BX296" s="7" t="s">
        <v>119</v>
      </c>
    </row>
    <row r="297" spans="1:76">
      <c r="A297" s="3" t="s">
        <v>846</v>
      </c>
      <c r="B297" s="3">
        <v>5931</v>
      </c>
      <c r="C297" s="3" t="s">
        <v>847</v>
      </c>
      <c r="D297" s="3">
        <v>1</v>
      </c>
      <c r="E297" s="4">
        <v>57</v>
      </c>
      <c r="F297" s="3" t="s">
        <v>87</v>
      </c>
      <c r="G297" s="3">
        <v>0</v>
      </c>
      <c r="H297" s="3">
        <v>0</v>
      </c>
      <c r="I297" s="4">
        <v>0</v>
      </c>
      <c r="J297" s="4">
        <v>1</v>
      </c>
      <c r="K297" s="4">
        <v>1</v>
      </c>
      <c r="L297" s="5">
        <f>IF(F297="F",65.79,IF(F297="M",79.94,""))</f>
        <v>65.790000000000006</v>
      </c>
      <c r="M297" s="3">
        <f t="shared" si="28"/>
        <v>0</v>
      </c>
      <c r="N297" s="3" t="str">
        <f t="shared" si="29"/>
        <v>VSC-non-halitosis</v>
      </c>
      <c r="O297" s="3" t="str">
        <f t="shared" si="30"/>
        <v>Clinical- / VSC-</v>
      </c>
      <c r="P297" s="5">
        <f t="shared" si="31"/>
        <v>0</v>
      </c>
      <c r="Q297" s="5">
        <f t="shared" si="32"/>
        <v>0</v>
      </c>
      <c r="R297" s="5">
        <f t="shared" si="32"/>
        <v>0.69314718055994529</v>
      </c>
      <c r="S297" s="5">
        <f t="shared" si="33"/>
        <v>1</v>
      </c>
      <c r="T297" s="3">
        <f t="shared" si="34"/>
        <v>1</v>
      </c>
      <c r="U297" s="3" t="s">
        <v>102</v>
      </c>
      <c r="V297" s="3">
        <v>1</v>
      </c>
      <c r="W297" s="6">
        <v>6.4</v>
      </c>
      <c r="X297" s="4">
        <v>7</v>
      </c>
      <c r="Y297" s="5">
        <v>0.3</v>
      </c>
      <c r="Z297" s="5">
        <v>1.8</v>
      </c>
      <c r="AA297" s="3" t="s">
        <v>97</v>
      </c>
      <c r="AB297" s="3">
        <v>0</v>
      </c>
      <c r="AC297" s="3" t="s">
        <v>113</v>
      </c>
      <c r="AD297" s="3">
        <v>0</v>
      </c>
      <c r="AE297" s="3" t="s">
        <v>82</v>
      </c>
      <c r="AF297" s="3">
        <v>1</v>
      </c>
      <c r="AG297" s="3" t="s">
        <v>98</v>
      </c>
      <c r="AH297" s="3">
        <v>0</v>
      </c>
      <c r="AI297" s="3">
        <v>2</v>
      </c>
      <c r="AJ297" s="3">
        <v>2</v>
      </c>
      <c r="AK297" s="3">
        <v>1</v>
      </c>
      <c r="AL297" s="3">
        <v>1</v>
      </c>
      <c r="AM297" s="3">
        <v>0</v>
      </c>
      <c r="AN297" s="3">
        <v>0</v>
      </c>
      <c r="AO297" s="3">
        <v>1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1</v>
      </c>
      <c r="BH297" s="3">
        <v>0</v>
      </c>
      <c r="BI297" s="3">
        <v>0</v>
      </c>
      <c r="BJ297" s="3">
        <v>0</v>
      </c>
      <c r="BK297" s="3">
        <v>0</v>
      </c>
      <c r="BL297" s="3">
        <v>1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7" t="s">
        <v>848</v>
      </c>
      <c r="BX297" s="7" t="s">
        <v>849</v>
      </c>
    </row>
    <row r="298" spans="1:76">
      <c r="A298" s="3" t="s">
        <v>850</v>
      </c>
      <c r="B298" s="3">
        <v>3227</v>
      </c>
      <c r="C298" s="3" t="s">
        <v>851</v>
      </c>
      <c r="D298" s="3">
        <v>1</v>
      </c>
      <c r="E298" s="4">
        <v>62</v>
      </c>
      <c r="F298" s="3" t="s">
        <v>87</v>
      </c>
      <c r="G298" s="3">
        <v>0</v>
      </c>
      <c r="H298" s="3">
        <v>0</v>
      </c>
      <c r="I298" s="4">
        <v>4</v>
      </c>
      <c r="J298" s="4">
        <v>2</v>
      </c>
      <c r="K298" s="4">
        <v>6</v>
      </c>
      <c r="L298" s="5">
        <f>IF(F298="F",65.79,IF(F298="M",79.94,""))</f>
        <v>65.790000000000006</v>
      </c>
      <c r="M298" s="3">
        <f t="shared" si="28"/>
        <v>0</v>
      </c>
      <c r="N298" s="3" t="str">
        <f t="shared" si="29"/>
        <v>VSC-non-halitosis</v>
      </c>
      <c r="O298" s="3" t="str">
        <f t="shared" si="30"/>
        <v>Clinical- / VSC-</v>
      </c>
      <c r="P298" s="5">
        <f t="shared" si="31"/>
        <v>1.791759469228055</v>
      </c>
      <c r="Q298" s="5">
        <f t="shared" si="32"/>
        <v>1.6094379124341003</v>
      </c>
      <c r="R298" s="5">
        <f t="shared" si="32"/>
        <v>1.0986122886681098</v>
      </c>
      <c r="S298" s="5">
        <f t="shared" si="33"/>
        <v>0.33333333333333331</v>
      </c>
      <c r="T298" s="3">
        <f t="shared" si="34"/>
        <v>0</v>
      </c>
      <c r="U298" s="3" t="s">
        <v>79</v>
      </c>
      <c r="V298" s="3">
        <v>2</v>
      </c>
      <c r="W298" s="6">
        <v>7.2</v>
      </c>
      <c r="X298" s="4">
        <v>12</v>
      </c>
      <c r="Y298" s="5">
        <v>0.25</v>
      </c>
      <c r="Z298" s="5">
        <v>0.6</v>
      </c>
      <c r="AA298" s="3" t="s">
        <v>80</v>
      </c>
      <c r="AB298" s="3">
        <v>0</v>
      </c>
      <c r="AC298" s="3" t="s">
        <v>89</v>
      </c>
      <c r="AD298" s="3">
        <v>1</v>
      </c>
      <c r="AE298" s="3" t="s">
        <v>82</v>
      </c>
      <c r="AF298" s="3">
        <v>1</v>
      </c>
      <c r="AG298" s="3" t="s">
        <v>98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7" t="s">
        <v>119</v>
      </c>
      <c r="BX298" s="7" t="s">
        <v>119</v>
      </c>
    </row>
    <row r="299" spans="1:76">
      <c r="A299" s="3" t="s">
        <v>852</v>
      </c>
      <c r="B299" s="3">
        <v>3045</v>
      </c>
      <c r="C299" s="3" t="s">
        <v>853</v>
      </c>
      <c r="D299" s="3">
        <v>1</v>
      </c>
      <c r="E299" s="4">
        <v>82</v>
      </c>
      <c r="F299" s="3" t="s">
        <v>87</v>
      </c>
      <c r="G299" s="3">
        <v>0</v>
      </c>
      <c r="H299" s="3">
        <v>0</v>
      </c>
      <c r="I299" s="4">
        <v>2</v>
      </c>
      <c r="J299" s="4">
        <v>20</v>
      </c>
      <c r="K299" s="4">
        <v>22</v>
      </c>
      <c r="L299" s="5">
        <f>IF(F299="F",65.79,IF(F299="M",79.94,""))</f>
        <v>65.790000000000006</v>
      </c>
      <c r="M299" s="3">
        <f t="shared" si="28"/>
        <v>0</v>
      </c>
      <c r="N299" s="3" t="str">
        <f t="shared" si="29"/>
        <v>VSC-non-halitosis</v>
      </c>
      <c r="O299" s="3" t="str">
        <f t="shared" si="30"/>
        <v>Clinical- / VSC-</v>
      </c>
      <c r="P299" s="5">
        <f t="shared" si="31"/>
        <v>3.0910424533583161</v>
      </c>
      <c r="Q299" s="5">
        <f t="shared" si="32"/>
        <v>1.0986122886681098</v>
      </c>
      <c r="R299" s="5">
        <f t="shared" si="32"/>
        <v>3.044522437723423</v>
      </c>
      <c r="S299" s="5">
        <f t="shared" si="33"/>
        <v>0.90909090909090906</v>
      </c>
      <c r="T299" s="3">
        <f t="shared" si="34"/>
        <v>1</v>
      </c>
      <c r="U299" s="3" t="s">
        <v>79</v>
      </c>
      <c r="V299" s="3">
        <v>2</v>
      </c>
      <c r="W299" s="6">
        <v>6.2</v>
      </c>
      <c r="X299" s="4">
        <v>8</v>
      </c>
      <c r="Y299" s="5">
        <v>0.2</v>
      </c>
      <c r="Z299" s="5">
        <v>1</v>
      </c>
      <c r="AA299" s="3" t="s">
        <v>108</v>
      </c>
      <c r="AB299" s="3">
        <v>1</v>
      </c>
      <c r="AC299" s="3" t="s">
        <v>89</v>
      </c>
      <c r="AD299" s="3">
        <v>1</v>
      </c>
      <c r="AE299" s="3" t="s">
        <v>82</v>
      </c>
      <c r="AF299" s="3">
        <v>1</v>
      </c>
      <c r="AG299" s="3" t="s">
        <v>103</v>
      </c>
      <c r="AH299" s="3">
        <v>1</v>
      </c>
      <c r="AI299" s="3">
        <v>1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1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7" t="s">
        <v>854</v>
      </c>
      <c r="BX299" s="7" t="s">
        <v>855</v>
      </c>
    </row>
    <row r="300" spans="1:76">
      <c r="A300" s="3" t="s">
        <v>856</v>
      </c>
      <c r="B300" s="3">
        <v>3061</v>
      </c>
      <c r="C300" s="3" t="s">
        <v>857</v>
      </c>
      <c r="D300" s="3">
        <v>1</v>
      </c>
      <c r="E300" s="4">
        <v>71</v>
      </c>
      <c r="F300" s="3" t="s">
        <v>87</v>
      </c>
      <c r="G300" s="3">
        <v>0</v>
      </c>
      <c r="H300" s="3">
        <v>0</v>
      </c>
      <c r="I300" s="4">
        <v>33</v>
      </c>
      <c r="J300" s="4">
        <v>58</v>
      </c>
      <c r="K300" s="4">
        <v>91</v>
      </c>
      <c r="L300" s="5">
        <f>IF(F300="F",65.79,IF(F300="M",79.94,""))</f>
        <v>65.790000000000006</v>
      </c>
      <c r="M300" s="3">
        <f t="shared" si="28"/>
        <v>1</v>
      </c>
      <c r="N300" s="3" t="str">
        <f t="shared" si="29"/>
        <v>VSC-halitosis</v>
      </c>
      <c r="O300" s="3" t="str">
        <f t="shared" si="30"/>
        <v>Clinical- / VSC+</v>
      </c>
      <c r="P300" s="5">
        <f t="shared" si="31"/>
        <v>4.5108595065168497</v>
      </c>
      <c r="Q300" s="5">
        <f t="shared" si="32"/>
        <v>3.5263605246161616</v>
      </c>
      <c r="R300" s="5">
        <f t="shared" si="32"/>
        <v>4.0775374439057197</v>
      </c>
      <c r="S300" s="5">
        <f t="shared" si="33"/>
        <v>0.63736263736263732</v>
      </c>
      <c r="T300" s="3">
        <f t="shared" si="34"/>
        <v>1</v>
      </c>
      <c r="U300" s="3" t="s">
        <v>96</v>
      </c>
      <c r="V300" s="3">
        <v>3</v>
      </c>
      <c r="W300" s="6">
        <v>6.8</v>
      </c>
      <c r="X300" s="4">
        <v>9</v>
      </c>
      <c r="Y300" s="5">
        <v>0.4</v>
      </c>
      <c r="Z300" s="5">
        <v>1.5</v>
      </c>
      <c r="AA300" s="3" t="s">
        <v>108</v>
      </c>
      <c r="AB300" s="3">
        <v>1</v>
      </c>
      <c r="AC300" s="3" t="s">
        <v>81</v>
      </c>
      <c r="AD300" s="3">
        <v>0</v>
      </c>
      <c r="AE300" s="3" t="s">
        <v>82</v>
      </c>
      <c r="AF300" s="3">
        <v>1</v>
      </c>
      <c r="AG300" s="3" t="s">
        <v>82</v>
      </c>
      <c r="AH300" s="3">
        <v>1</v>
      </c>
      <c r="AI300" s="3">
        <v>1</v>
      </c>
      <c r="AJ300" s="3">
        <v>1</v>
      </c>
      <c r="AK300" s="3">
        <v>1</v>
      </c>
      <c r="AL300" s="3">
        <v>1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1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7" t="s">
        <v>186</v>
      </c>
      <c r="BX300" s="7" t="s">
        <v>858</v>
      </c>
    </row>
    <row r="301" spans="1:76">
      <c r="A301" s="3" t="s">
        <v>859</v>
      </c>
      <c r="B301" s="3">
        <v>3062</v>
      </c>
      <c r="C301" s="3" t="s">
        <v>860</v>
      </c>
      <c r="D301" s="3">
        <v>1</v>
      </c>
      <c r="E301" s="4">
        <v>9</v>
      </c>
      <c r="F301" s="3" t="s">
        <v>87</v>
      </c>
      <c r="G301" s="3">
        <v>0</v>
      </c>
      <c r="H301" s="3">
        <v>0</v>
      </c>
      <c r="I301" s="4">
        <v>178</v>
      </c>
      <c r="J301" s="4">
        <v>83</v>
      </c>
      <c r="K301" s="4">
        <v>261</v>
      </c>
      <c r="L301" s="5">
        <f>IF(F301="F",65.79,IF(F301="M",79.94,""))</f>
        <v>65.790000000000006</v>
      </c>
      <c r="M301" s="3">
        <f t="shared" si="28"/>
        <v>1</v>
      </c>
      <c r="N301" s="3" t="str">
        <f t="shared" si="29"/>
        <v>VSC-halitosis</v>
      </c>
      <c r="O301" s="3" t="str">
        <f t="shared" si="30"/>
        <v>Clinical- / VSC+</v>
      </c>
      <c r="P301" s="5">
        <f t="shared" si="31"/>
        <v>5.5645204073226937</v>
      </c>
      <c r="Q301" s="5">
        <f t="shared" si="32"/>
        <v>5.1873858058407549</v>
      </c>
      <c r="R301" s="5">
        <f t="shared" si="32"/>
        <v>4.4308167988433134</v>
      </c>
      <c r="S301" s="5">
        <f t="shared" si="33"/>
        <v>0.31800766283524906</v>
      </c>
      <c r="T301" s="3">
        <f t="shared" si="34"/>
        <v>0</v>
      </c>
      <c r="U301" s="3" t="s">
        <v>96</v>
      </c>
      <c r="V301" s="3">
        <v>3</v>
      </c>
      <c r="W301" s="6">
        <v>6.8</v>
      </c>
      <c r="X301" s="4">
        <v>10</v>
      </c>
      <c r="Y301" s="5">
        <v>0.2</v>
      </c>
      <c r="Z301" s="5">
        <v>0.8</v>
      </c>
      <c r="AA301" s="3" t="s">
        <v>80</v>
      </c>
      <c r="AB301" s="3">
        <v>0</v>
      </c>
      <c r="AC301" s="3" t="s">
        <v>113</v>
      </c>
      <c r="AD301" s="3">
        <v>0</v>
      </c>
      <c r="AE301" s="3" t="s">
        <v>82</v>
      </c>
      <c r="AF301" s="3">
        <v>1</v>
      </c>
      <c r="AG301" s="3" t="s">
        <v>82</v>
      </c>
      <c r="AH301" s="3">
        <v>1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7" t="s">
        <v>119</v>
      </c>
      <c r="BX301" s="7"/>
    </row>
    <row r="302" spans="1:76">
      <c r="A302" s="3" t="s">
        <v>861</v>
      </c>
      <c r="B302" s="3">
        <v>3063</v>
      </c>
      <c r="C302" s="3" t="s">
        <v>862</v>
      </c>
      <c r="D302" s="3">
        <v>1</v>
      </c>
      <c r="E302" s="4">
        <v>61</v>
      </c>
      <c r="F302" s="3" t="s">
        <v>87</v>
      </c>
      <c r="G302" s="3">
        <v>0</v>
      </c>
      <c r="H302" s="3">
        <v>0</v>
      </c>
      <c r="I302" s="4">
        <v>27</v>
      </c>
      <c r="J302" s="4">
        <v>15</v>
      </c>
      <c r="K302" s="4">
        <v>42</v>
      </c>
      <c r="L302" s="5">
        <f>IF(F302="F",65.79,IF(F302="M",79.94,""))</f>
        <v>65.790000000000006</v>
      </c>
      <c r="M302" s="3">
        <f t="shared" si="28"/>
        <v>0</v>
      </c>
      <c r="N302" s="3" t="str">
        <f t="shared" si="29"/>
        <v>VSC-non-halitosis</v>
      </c>
      <c r="O302" s="3" t="str">
        <f t="shared" si="30"/>
        <v>Clinical- / VSC-</v>
      </c>
      <c r="P302" s="5">
        <f t="shared" si="31"/>
        <v>3.7376696182833684</v>
      </c>
      <c r="Q302" s="5">
        <f t="shared" si="32"/>
        <v>3.3322045101752038</v>
      </c>
      <c r="R302" s="5">
        <f t="shared" si="32"/>
        <v>2.7725887222397811</v>
      </c>
      <c r="S302" s="5">
        <f t="shared" si="33"/>
        <v>0.35714285714285715</v>
      </c>
      <c r="T302" s="3">
        <f t="shared" si="34"/>
        <v>0</v>
      </c>
      <c r="U302" s="3" t="s">
        <v>96</v>
      </c>
      <c r="V302" s="3">
        <v>3</v>
      </c>
      <c r="W302" s="6">
        <v>7.4</v>
      </c>
      <c r="X302" s="4">
        <v>10</v>
      </c>
      <c r="Y302" s="5">
        <v>0.4</v>
      </c>
      <c r="Z302" s="5">
        <v>2.4</v>
      </c>
      <c r="AA302" s="3" t="s">
        <v>80</v>
      </c>
      <c r="AB302" s="3">
        <v>0</v>
      </c>
      <c r="AC302" s="3" t="s">
        <v>81</v>
      </c>
      <c r="AD302" s="3">
        <v>0</v>
      </c>
      <c r="AE302" s="3" t="s">
        <v>98</v>
      </c>
      <c r="AF302" s="3">
        <v>0</v>
      </c>
      <c r="AG302" s="3" t="s">
        <v>103</v>
      </c>
      <c r="AH302" s="3">
        <v>1</v>
      </c>
      <c r="AI302" s="3">
        <v>1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7" t="s">
        <v>863</v>
      </c>
      <c r="BX302" s="7" t="s">
        <v>864</v>
      </c>
    </row>
    <row r="303" spans="1:76">
      <c r="A303" s="3" t="s">
        <v>865</v>
      </c>
      <c r="B303" s="3">
        <v>3076</v>
      </c>
      <c r="C303" s="3" t="s">
        <v>866</v>
      </c>
      <c r="D303" s="3">
        <v>1</v>
      </c>
      <c r="E303" s="4">
        <v>58</v>
      </c>
      <c r="F303" s="3" t="s">
        <v>87</v>
      </c>
      <c r="G303" s="3">
        <v>0</v>
      </c>
      <c r="H303" s="3">
        <v>0</v>
      </c>
      <c r="I303" s="4">
        <v>0</v>
      </c>
      <c r="J303" s="4">
        <v>1</v>
      </c>
      <c r="K303" s="4">
        <v>1</v>
      </c>
      <c r="L303" s="5">
        <f>IF(F303="F",65.79,IF(F303="M",79.94,""))</f>
        <v>65.790000000000006</v>
      </c>
      <c r="M303" s="3">
        <f t="shared" si="28"/>
        <v>0</v>
      </c>
      <c r="N303" s="3" t="str">
        <f t="shared" si="29"/>
        <v>VSC-non-halitosis</v>
      </c>
      <c r="O303" s="3" t="str">
        <f t="shared" si="30"/>
        <v>Clinical- / VSC-</v>
      </c>
      <c r="P303" s="5">
        <f t="shared" si="31"/>
        <v>0</v>
      </c>
      <c r="Q303" s="5">
        <f t="shared" si="32"/>
        <v>0</v>
      </c>
      <c r="R303" s="5">
        <f t="shared" si="32"/>
        <v>0.69314718055994529</v>
      </c>
      <c r="S303" s="5">
        <f t="shared" si="33"/>
        <v>1</v>
      </c>
      <c r="T303" s="3">
        <f t="shared" si="34"/>
        <v>1</v>
      </c>
      <c r="U303" s="3" t="s">
        <v>102</v>
      </c>
      <c r="V303" s="3">
        <v>1</v>
      </c>
      <c r="W303" s="6">
        <v>6.2</v>
      </c>
      <c r="X303" s="4">
        <v>10</v>
      </c>
      <c r="Y303" s="5">
        <v>0.35</v>
      </c>
      <c r="Z303" s="5">
        <v>2</v>
      </c>
      <c r="AA303" s="3" t="s">
        <v>80</v>
      </c>
      <c r="AB303" s="3">
        <v>0</v>
      </c>
      <c r="AC303" s="3" t="s">
        <v>81</v>
      </c>
      <c r="AD303" s="3">
        <v>0</v>
      </c>
      <c r="AE303" s="3" t="s">
        <v>82</v>
      </c>
      <c r="AF303" s="3">
        <v>1</v>
      </c>
      <c r="AG303" s="3" t="s">
        <v>98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7" t="s">
        <v>119</v>
      </c>
      <c r="BX303" s="7" t="s">
        <v>119</v>
      </c>
    </row>
    <row r="304" spans="1:76">
      <c r="A304" s="3" t="s">
        <v>867</v>
      </c>
      <c r="B304" s="3">
        <v>3080</v>
      </c>
      <c r="C304" s="3" t="s">
        <v>868</v>
      </c>
      <c r="D304" s="3">
        <v>1</v>
      </c>
      <c r="E304" s="4">
        <v>70</v>
      </c>
      <c r="F304" s="3" t="s">
        <v>87</v>
      </c>
      <c r="G304" s="3">
        <v>0</v>
      </c>
      <c r="H304" s="3">
        <v>0</v>
      </c>
      <c r="I304" s="4">
        <v>48</v>
      </c>
      <c r="J304" s="4">
        <v>0</v>
      </c>
      <c r="K304" s="4">
        <v>48</v>
      </c>
      <c r="L304" s="5">
        <f>IF(F304="F",65.79,IF(F304="M",79.94,""))</f>
        <v>65.790000000000006</v>
      </c>
      <c r="M304" s="3">
        <f t="shared" si="28"/>
        <v>0</v>
      </c>
      <c r="N304" s="3" t="str">
        <f t="shared" si="29"/>
        <v>VSC-non-halitosis</v>
      </c>
      <c r="O304" s="3" t="str">
        <f t="shared" si="30"/>
        <v>Clinical- / VSC-</v>
      </c>
      <c r="P304" s="5">
        <f t="shared" si="31"/>
        <v>3.8712010109078911</v>
      </c>
      <c r="Q304" s="5">
        <f t="shared" si="32"/>
        <v>3.8918202981106265</v>
      </c>
      <c r="R304" s="5">
        <f t="shared" si="32"/>
        <v>0</v>
      </c>
      <c r="S304" s="5">
        <f t="shared" si="33"/>
        <v>0</v>
      </c>
      <c r="T304" s="3">
        <f t="shared" si="34"/>
        <v>0</v>
      </c>
      <c r="U304" s="3" t="s">
        <v>96</v>
      </c>
      <c r="V304" s="3">
        <v>3</v>
      </c>
      <c r="W304" s="6">
        <v>6.8</v>
      </c>
      <c r="X304" s="4">
        <v>10</v>
      </c>
      <c r="Y304" s="5">
        <v>0.2</v>
      </c>
      <c r="Z304" s="5">
        <v>1.3</v>
      </c>
      <c r="AA304" s="3" t="s">
        <v>80</v>
      </c>
      <c r="AB304" s="3">
        <v>0</v>
      </c>
      <c r="AC304" s="3" t="s">
        <v>89</v>
      </c>
      <c r="AD304" s="3">
        <v>1</v>
      </c>
      <c r="AE304" s="3" t="s">
        <v>103</v>
      </c>
      <c r="AF304" s="3">
        <v>1</v>
      </c>
      <c r="AG304" s="3" t="s">
        <v>103</v>
      </c>
      <c r="AH304" s="3">
        <v>1</v>
      </c>
      <c r="AI304" s="3">
        <v>1</v>
      </c>
      <c r="AJ304" s="3">
        <v>1</v>
      </c>
      <c r="AK304" s="3">
        <v>1</v>
      </c>
      <c r="AL304" s="3">
        <v>1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1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7" t="s">
        <v>186</v>
      </c>
      <c r="BX304" s="7" t="s">
        <v>858</v>
      </c>
    </row>
    <row r="305" spans="1:76">
      <c r="A305" s="3" t="s">
        <v>869</v>
      </c>
      <c r="B305" s="3">
        <v>3100</v>
      </c>
      <c r="C305" s="3" t="s">
        <v>870</v>
      </c>
      <c r="D305" s="3">
        <v>1</v>
      </c>
      <c r="E305" s="4">
        <v>70</v>
      </c>
      <c r="F305" s="3" t="s">
        <v>87</v>
      </c>
      <c r="G305" s="3">
        <v>0</v>
      </c>
      <c r="H305" s="3">
        <v>0</v>
      </c>
      <c r="I305" s="4">
        <v>270</v>
      </c>
      <c r="J305" s="4">
        <v>142</v>
      </c>
      <c r="K305" s="4">
        <v>412</v>
      </c>
      <c r="L305" s="5">
        <f>IF(F305="F",65.79,IF(F305="M",79.94,""))</f>
        <v>65.790000000000006</v>
      </c>
      <c r="M305" s="3">
        <f t="shared" si="28"/>
        <v>1</v>
      </c>
      <c r="N305" s="3" t="str">
        <f t="shared" si="29"/>
        <v>VSC-halitosis</v>
      </c>
      <c r="O305" s="3" t="str">
        <f t="shared" si="30"/>
        <v>Clinical- / VSC+</v>
      </c>
      <c r="P305" s="5">
        <f t="shared" si="31"/>
        <v>6.0210233493495267</v>
      </c>
      <c r="Q305" s="5">
        <f t="shared" si="32"/>
        <v>5.602118820879701</v>
      </c>
      <c r="R305" s="5">
        <f t="shared" si="32"/>
        <v>4.962844630259907</v>
      </c>
      <c r="S305" s="5">
        <f t="shared" si="33"/>
        <v>0.3446601941747573</v>
      </c>
      <c r="T305" s="3">
        <f t="shared" si="34"/>
        <v>0</v>
      </c>
      <c r="U305" s="3" t="s">
        <v>96</v>
      </c>
      <c r="V305" s="3">
        <v>3</v>
      </c>
      <c r="W305" s="6">
        <v>6.8</v>
      </c>
      <c r="X305" s="4">
        <v>9</v>
      </c>
      <c r="Y305" s="5">
        <v>0.45</v>
      </c>
      <c r="Z305" s="5">
        <v>1</v>
      </c>
      <c r="AA305" s="3" t="s">
        <v>108</v>
      </c>
      <c r="AB305" s="3">
        <v>1</v>
      </c>
      <c r="AC305" s="3" t="s">
        <v>81</v>
      </c>
      <c r="AD305" s="3">
        <v>0</v>
      </c>
      <c r="AE305" s="3" t="s">
        <v>82</v>
      </c>
      <c r="AF305" s="3">
        <v>1</v>
      </c>
      <c r="AG305" s="3" t="s">
        <v>103</v>
      </c>
      <c r="AH305" s="3">
        <v>1</v>
      </c>
      <c r="AI305" s="3">
        <v>1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1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7" t="s">
        <v>119</v>
      </c>
      <c r="BX305" s="7" t="s">
        <v>871</v>
      </c>
    </row>
    <row r="306" spans="1:76">
      <c r="A306" s="3" t="s">
        <v>872</v>
      </c>
      <c r="B306" s="3">
        <v>3104</v>
      </c>
      <c r="C306" s="3" t="s">
        <v>873</v>
      </c>
      <c r="D306" s="3">
        <v>1</v>
      </c>
      <c r="E306" s="4">
        <v>48</v>
      </c>
      <c r="F306" s="3" t="s">
        <v>87</v>
      </c>
      <c r="G306" s="3">
        <v>0</v>
      </c>
      <c r="H306" s="3">
        <v>0</v>
      </c>
      <c r="I306" s="4">
        <v>280</v>
      </c>
      <c r="J306" s="4">
        <v>47</v>
      </c>
      <c r="K306" s="4">
        <v>327</v>
      </c>
      <c r="L306" s="5">
        <f>IF(F306="F",65.79,IF(F306="M",79.94,""))</f>
        <v>65.790000000000006</v>
      </c>
      <c r="M306" s="3">
        <f t="shared" si="28"/>
        <v>1</v>
      </c>
      <c r="N306" s="3" t="str">
        <f t="shared" si="29"/>
        <v>VSC-halitosis</v>
      </c>
      <c r="O306" s="3" t="str">
        <f t="shared" si="30"/>
        <v>Clinical- / VSC+</v>
      </c>
      <c r="P306" s="5">
        <f t="shared" si="31"/>
        <v>5.7899601708972535</v>
      </c>
      <c r="Q306" s="5">
        <f t="shared" si="32"/>
        <v>5.6383546693337454</v>
      </c>
      <c r="R306" s="5">
        <f t="shared" si="32"/>
        <v>3.8712010109078911</v>
      </c>
      <c r="S306" s="5">
        <f t="shared" si="33"/>
        <v>0.14373088685015289</v>
      </c>
      <c r="T306" s="3">
        <f t="shared" si="34"/>
        <v>0</v>
      </c>
      <c r="U306" s="3" t="s">
        <v>96</v>
      </c>
      <c r="V306" s="3">
        <v>3</v>
      </c>
      <c r="W306" s="6">
        <v>7</v>
      </c>
      <c r="X306" s="4">
        <v>10</v>
      </c>
      <c r="Y306" s="5">
        <v>1.2</v>
      </c>
      <c r="Z306" s="5">
        <v>3.2</v>
      </c>
      <c r="AA306" s="3" t="s">
        <v>80</v>
      </c>
      <c r="AB306" s="3">
        <v>0</v>
      </c>
      <c r="AC306" s="3" t="s">
        <v>113</v>
      </c>
      <c r="AD306" s="3">
        <v>0</v>
      </c>
      <c r="AE306" s="3" t="s">
        <v>82</v>
      </c>
      <c r="AF306" s="3">
        <v>1</v>
      </c>
      <c r="AG306" s="3" t="s">
        <v>98</v>
      </c>
      <c r="AH306" s="3">
        <v>0</v>
      </c>
      <c r="AI306" s="3">
        <v>1</v>
      </c>
      <c r="AJ306" s="3">
        <v>1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1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1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7" t="s">
        <v>197</v>
      </c>
      <c r="BX306" s="7" t="s">
        <v>874</v>
      </c>
    </row>
    <row r="307" spans="1:76">
      <c r="A307" s="3" t="s">
        <v>875</v>
      </c>
      <c r="B307" s="3">
        <v>3105</v>
      </c>
      <c r="C307" s="3" t="s">
        <v>876</v>
      </c>
      <c r="D307" s="3">
        <v>1</v>
      </c>
      <c r="E307" s="4">
        <v>67</v>
      </c>
      <c r="F307" s="3" t="s">
        <v>87</v>
      </c>
      <c r="G307" s="3">
        <v>0</v>
      </c>
      <c r="H307" s="3">
        <v>0</v>
      </c>
      <c r="I307" s="4">
        <v>0</v>
      </c>
      <c r="J307" s="4">
        <v>1</v>
      </c>
      <c r="K307" s="4">
        <v>1</v>
      </c>
      <c r="L307" s="5">
        <f>IF(F307="F",65.79,IF(F307="M",79.94,""))</f>
        <v>65.790000000000006</v>
      </c>
      <c r="M307" s="3">
        <f t="shared" si="28"/>
        <v>0</v>
      </c>
      <c r="N307" s="3" t="str">
        <f t="shared" si="29"/>
        <v>VSC-non-halitosis</v>
      </c>
      <c r="O307" s="3" t="str">
        <f t="shared" si="30"/>
        <v>Clinical- / VSC-</v>
      </c>
      <c r="P307" s="5">
        <f t="shared" si="31"/>
        <v>0</v>
      </c>
      <c r="Q307" s="5">
        <f t="shared" si="32"/>
        <v>0</v>
      </c>
      <c r="R307" s="5">
        <f t="shared" si="32"/>
        <v>0.69314718055994529</v>
      </c>
      <c r="S307" s="5">
        <f t="shared" si="33"/>
        <v>1</v>
      </c>
      <c r="T307" s="3">
        <f t="shared" si="34"/>
        <v>1</v>
      </c>
      <c r="U307" s="3" t="s">
        <v>102</v>
      </c>
      <c r="V307" s="3">
        <v>1</v>
      </c>
      <c r="W307" s="6">
        <v>6.4</v>
      </c>
      <c r="X307" s="4">
        <v>8</v>
      </c>
      <c r="Y307" s="5">
        <v>0.4</v>
      </c>
      <c r="Z307" s="5">
        <v>1.6</v>
      </c>
      <c r="AA307" s="3" t="s">
        <v>80</v>
      </c>
      <c r="AB307" s="3">
        <v>0</v>
      </c>
      <c r="AC307" s="3" t="s">
        <v>89</v>
      </c>
      <c r="AD307" s="3">
        <v>1</v>
      </c>
      <c r="AE307" s="3" t="s">
        <v>103</v>
      </c>
      <c r="AF307" s="3">
        <v>1</v>
      </c>
      <c r="AG307" s="3" t="s">
        <v>82</v>
      </c>
      <c r="AH307" s="3">
        <v>1</v>
      </c>
      <c r="AI307" s="3">
        <v>1</v>
      </c>
      <c r="AJ307" s="3">
        <v>1</v>
      </c>
      <c r="AK307" s="3">
        <v>0</v>
      </c>
      <c r="AL307" s="3">
        <v>0</v>
      </c>
      <c r="AM307" s="3">
        <v>0</v>
      </c>
      <c r="AN307" s="3">
        <v>1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1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7" t="s">
        <v>397</v>
      </c>
      <c r="BX307" s="7" t="s">
        <v>877</v>
      </c>
    </row>
    <row r="308" spans="1:76">
      <c r="A308" s="3" t="s">
        <v>878</v>
      </c>
      <c r="B308" s="3">
        <v>3121</v>
      </c>
      <c r="C308" s="3" t="s">
        <v>879</v>
      </c>
      <c r="D308" s="3">
        <v>1</v>
      </c>
      <c r="E308" s="4">
        <v>80</v>
      </c>
      <c r="F308" s="3" t="s">
        <v>78</v>
      </c>
      <c r="G308" s="3">
        <v>0</v>
      </c>
      <c r="H308" s="3">
        <v>0</v>
      </c>
      <c r="I308" s="4">
        <v>69</v>
      </c>
      <c r="J308" s="4">
        <v>0</v>
      </c>
      <c r="K308" s="4">
        <v>69</v>
      </c>
      <c r="L308" s="5">
        <f>IF(F308="F",65.79,IF(F308="M",79.94,""))</f>
        <v>79.94</v>
      </c>
      <c r="M308" s="3">
        <f t="shared" si="28"/>
        <v>0</v>
      </c>
      <c r="N308" s="3" t="str">
        <f t="shared" si="29"/>
        <v>VSC-non-halitosis</v>
      </c>
      <c r="O308" s="3" t="str">
        <f t="shared" si="30"/>
        <v>Clinical- / VSC-</v>
      </c>
      <c r="P308" s="5">
        <f t="shared" si="31"/>
        <v>4.2341065045972597</v>
      </c>
      <c r="Q308" s="5">
        <f t="shared" si="32"/>
        <v>4.2484952420493594</v>
      </c>
      <c r="R308" s="5">
        <f t="shared" si="32"/>
        <v>0</v>
      </c>
      <c r="S308" s="5">
        <f t="shared" si="33"/>
        <v>0</v>
      </c>
      <c r="T308" s="3">
        <f t="shared" si="34"/>
        <v>0</v>
      </c>
      <c r="U308" s="3" t="s">
        <v>96</v>
      </c>
      <c r="V308" s="3">
        <v>3</v>
      </c>
      <c r="W308" s="6">
        <v>7.8</v>
      </c>
      <c r="X308" s="4">
        <v>8</v>
      </c>
      <c r="Y308" s="5">
        <v>0.4</v>
      </c>
      <c r="Z308" s="5">
        <v>1.2</v>
      </c>
      <c r="AA308" s="3" t="s">
        <v>108</v>
      </c>
      <c r="AB308" s="3">
        <v>1</v>
      </c>
      <c r="AC308" s="3" t="s">
        <v>81</v>
      </c>
      <c r="AD308" s="3">
        <v>0</v>
      </c>
      <c r="AE308" s="3" t="s">
        <v>82</v>
      </c>
      <c r="AF308" s="3">
        <v>1</v>
      </c>
      <c r="AG308" s="3" t="s">
        <v>82</v>
      </c>
      <c r="AH308" s="3">
        <v>1</v>
      </c>
      <c r="AI308" s="3">
        <v>1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1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7"/>
      <c r="BX308" s="7" t="s">
        <v>880</v>
      </c>
    </row>
    <row r="309" spans="1:76">
      <c r="A309" s="3" t="s">
        <v>881</v>
      </c>
      <c r="B309" s="3">
        <v>3122</v>
      </c>
      <c r="C309" s="3" t="s">
        <v>882</v>
      </c>
      <c r="D309" s="3">
        <v>1</v>
      </c>
      <c r="E309" s="4">
        <v>60</v>
      </c>
      <c r="F309" s="3" t="s">
        <v>78</v>
      </c>
      <c r="G309" s="3">
        <v>0</v>
      </c>
      <c r="H309" s="3">
        <v>0</v>
      </c>
      <c r="I309" s="4">
        <v>57</v>
      </c>
      <c r="J309" s="4">
        <v>5</v>
      </c>
      <c r="K309" s="4">
        <v>62</v>
      </c>
      <c r="L309" s="5">
        <f>IF(F309="F",65.79,IF(F309="M",79.94,""))</f>
        <v>79.94</v>
      </c>
      <c r="M309" s="3">
        <f t="shared" si="28"/>
        <v>0</v>
      </c>
      <c r="N309" s="3" t="str">
        <f t="shared" si="29"/>
        <v>VSC-non-halitosis</v>
      </c>
      <c r="O309" s="3" t="str">
        <f t="shared" si="30"/>
        <v>Clinical- / VSC-</v>
      </c>
      <c r="P309" s="5">
        <f t="shared" si="31"/>
        <v>4.1271343850450917</v>
      </c>
      <c r="Q309" s="5">
        <f t="shared" si="32"/>
        <v>4.0604430105464191</v>
      </c>
      <c r="R309" s="5">
        <f t="shared" si="32"/>
        <v>1.791759469228055</v>
      </c>
      <c r="S309" s="5">
        <f t="shared" si="33"/>
        <v>8.0645161290322578E-2</v>
      </c>
      <c r="T309" s="3">
        <f t="shared" si="34"/>
        <v>0</v>
      </c>
      <c r="U309" s="3" t="s">
        <v>96</v>
      </c>
      <c r="V309" s="3">
        <v>3</v>
      </c>
      <c r="W309" s="6">
        <v>6.8</v>
      </c>
      <c r="X309" s="4">
        <v>10</v>
      </c>
      <c r="Y309" s="5">
        <v>0.9</v>
      </c>
      <c r="Z309" s="5">
        <v>2.5</v>
      </c>
      <c r="AA309" s="3" t="s">
        <v>80</v>
      </c>
      <c r="AB309" s="3">
        <v>0</v>
      </c>
      <c r="AC309" s="3" t="s">
        <v>81</v>
      </c>
      <c r="AD309" s="3">
        <v>0</v>
      </c>
      <c r="AE309" s="3" t="s">
        <v>82</v>
      </c>
      <c r="AF309" s="3">
        <v>1</v>
      </c>
      <c r="AG309" s="3" t="s">
        <v>98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7"/>
      <c r="BX309" s="7"/>
    </row>
    <row r="310" spans="1:76">
      <c r="A310" s="3" t="s">
        <v>883</v>
      </c>
      <c r="B310" s="3">
        <v>3130</v>
      </c>
      <c r="C310" s="3" t="s">
        <v>884</v>
      </c>
      <c r="D310" s="3">
        <v>1</v>
      </c>
      <c r="E310" s="4">
        <v>53</v>
      </c>
      <c r="F310" s="3" t="s">
        <v>87</v>
      </c>
      <c r="G310" s="3">
        <v>0</v>
      </c>
      <c r="H310" s="3">
        <v>1</v>
      </c>
      <c r="I310" s="4">
        <v>106</v>
      </c>
      <c r="J310" s="4">
        <v>60</v>
      </c>
      <c r="K310" s="4">
        <v>166</v>
      </c>
      <c r="L310" s="5">
        <f>IF(F310="F",65.79,IF(F310="M",79.94,""))</f>
        <v>65.790000000000006</v>
      </c>
      <c r="M310" s="3">
        <f t="shared" si="28"/>
        <v>1</v>
      </c>
      <c r="N310" s="3" t="str">
        <f t="shared" si="29"/>
        <v>VSC-halitosis</v>
      </c>
      <c r="O310" s="3" t="str">
        <f t="shared" si="30"/>
        <v>Clinical- / VSC+</v>
      </c>
      <c r="P310" s="5">
        <f t="shared" si="31"/>
        <v>5.1119877883565437</v>
      </c>
      <c r="Q310" s="5">
        <f t="shared" si="32"/>
        <v>4.6728288344619058</v>
      </c>
      <c r="R310" s="5">
        <f t="shared" si="32"/>
        <v>4.1108738641733114</v>
      </c>
      <c r="S310" s="5">
        <f t="shared" si="33"/>
        <v>0.36144578313253012</v>
      </c>
      <c r="T310" s="3">
        <f t="shared" si="34"/>
        <v>0</v>
      </c>
      <c r="U310" s="3" t="s">
        <v>96</v>
      </c>
      <c r="V310" s="3">
        <v>3</v>
      </c>
      <c r="W310" s="6">
        <v>6.6</v>
      </c>
      <c r="X310" s="4">
        <v>10</v>
      </c>
      <c r="Y310" s="5">
        <v>0.35</v>
      </c>
      <c r="Z310" s="5">
        <v>1.2</v>
      </c>
      <c r="AA310" s="3" t="s">
        <v>108</v>
      </c>
      <c r="AB310" s="3">
        <v>1</v>
      </c>
      <c r="AC310" s="3" t="s">
        <v>81</v>
      </c>
      <c r="AD310" s="3">
        <v>0</v>
      </c>
      <c r="AE310" s="3" t="s">
        <v>82</v>
      </c>
      <c r="AF310" s="3">
        <v>1</v>
      </c>
      <c r="AG310" s="3" t="s">
        <v>82</v>
      </c>
      <c r="AH310" s="3">
        <v>1</v>
      </c>
      <c r="AI310" s="3">
        <v>1</v>
      </c>
      <c r="AJ310" s="3">
        <v>1</v>
      </c>
      <c r="AK310" s="3">
        <v>0</v>
      </c>
      <c r="AL310" s="3">
        <v>0</v>
      </c>
      <c r="AM310" s="3">
        <v>0</v>
      </c>
      <c r="AN310" s="3">
        <v>1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1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7" t="s">
        <v>885</v>
      </c>
      <c r="BX310" s="7" t="s">
        <v>119</v>
      </c>
    </row>
    <row r="311" spans="1:76">
      <c r="A311" s="3" t="s">
        <v>886</v>
      </c>
      <c r="B311" s="3">
        <v>3143</v>
      </c>
      <c r="C311" s="3" t="s">
        <v>887</v>
      </c>
      <c r="D311" s="3">
        <v>1</v>
      </c>
      <c r="E311" s="4">
        <v>73</v>
      </c>
      <c r="F311" s="3" t="s">
        <v>87</v>
      </c>
      <c r="G311" s="3">
        <v>0</v>
      </c>
      <c r="H311" s="3">
        <v>0</v>
      </c>
      <c r="I311" s="4">
        <v>117</v>
      </c>
      <c r="J311" s="4">
        <v>132</v>
      </c>
      <c r="K311" s="4">
        <v>249</v>
      </c>
      <c r="L311" s="5">
        <f>IF(F311="F",65.79,IF(F311="M",79.94,""))</f>
        <v>65.790000000000006</v>
      </c>
      <c r="M311" s="3">
        <f t="shared" si="28"/>
        <v>1</v>
      </c>
      <c r="N311" s="3" t="str">
        <f t="shared" si="29"/>
        <v>VSC-halitosis</v>
      </c>
      <c r="O311" s="3" t="str">
        <f t="shared" si="30"/>
        <v>Clinical- / VSC+</v>
      </c>
      <c r="P311" s="5">
        <f t="shared" si="31"/>
        <v>5.5174528964647074</v>
      </c>
      <c r="Q311" s="5">
        <f t="shared" si="32"/>
        <v>4.7706846244656651</v>
      </c>
      <c r="R311" s="5">
        <f t="shared" si="32"/>
        <v>4.8903491282217537</v>
      </c>
      <c r="S311" s="5">
        <f t="shared" si="33"/>
        <v>0.53012048192771088</v>
      </c>
      <c r="T311" s="3">
        <f t="shared" si="34"/>
        <v>1</v>
      </c>
      <c r="U311" s="3" t="s">
        <v>96</v>
      </c>
      <c r="V311" s="3">
        <v>3</v>
      </c>
      <c r="W311" s="6">
        <v>5.8</v>
      </c>
      <c r="X311" s="4">
        <v>9</v>
      </c>
      <c r="Y311" s="5">
        <v>0.2</v>
      </c>
      <c r="Z311" s="5">
        <v>1.2</v>
      </c>
      <c r="AA311" s="3" t="s">
        <v>80</v>
      </c>
      <c r="AB311" s="3">
        <v>0</v>
      </c>
      <c r="AC311" s="3" t="s">
        <v>81</v>
      </c>
      <c r="AD311" s="3">
        <v>0</v>
      </c>
      <c r="AE311" s="3" t="s">
        <v>82</v>
      </c>
      <c r="AF311" s="3">
        <v>1</v>
      </c>
      <c r="AG311" s="3" t="s">
        <v>82</v>
      </c>
      <c r="AH311" s="3">
        <v>1</v>
      </c>
      <c r="AI311" s="3">
        <v>1</v>
      </c>
      <c r="AJ311" s="3">
        <v>1</v>
      </c>
      <c r="AK311" s="3">
        <v>0</v>
      </c>
      <c r="AL311" s="3">
        <v>0</v>
      </c>
      <c r="AM311" s="3">
        <v>1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1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7" t="s">
        <v>219</v>
      </c>
      <c r="BX311" s="7" t="s">
        <v>695</v>
      </c>
    </row>
    <row r="312" spans="1:76">
      <c r="A312" s="3" t="s">
        <v>888</v>
      </c>
      <c r="B312" s="3">
        <v>3146</v>
      </c>
      <c r="C312" s="3" t="s">
        <v>889</v>
      </c>
      <c r="D312" s="3">
        <v>4</v>
      </c>
      <c r="E312" s="4">
        <v>67</v>
      </c>
      <c r="F312" s="3" t="s">
        <v>87</v>
      </c>
      <c r="G312" s="3">
        <v>0</v>
      </c>
      <c r="H312" s="3">
        <v>0</v>
      </c>
      <c r="I312" s="4">
        <v>0</v>
      </c>
      <c r="J312" s="4">
        <v>1</v>
      </c>
      <c r="K312" s="4">
        <v>1</v>
      </c>
      <c r="L312" s="5">
        <f>IF(F312="F",65.79,IF(F312="M",79.94,""))</f>
        <v>65.790000000000006</v>
      </c>
      <c r="M312" s="3">
        <f t="shared" si="28"/>
        <v>0</v>
      </c>
      <c r="N312" s="3" t="str">
        <f t="shared" si="29"/>
        <v>VSC-non-halitosis</v>
      </c>
      <c r="O312" s="3" t="str">
        <f t="shared" si="30"/>
        <v>Clinical- / VSC-</v>
      </c>
      <c r="P312" s="5">
        <f t="shared" si="31"/>
        <v>0</v>
      </c>
      <c r="Q312" s="5">
        <f t="shared" si="32"/>
        <v>0</v>
      </c>
      <c r="R312" s="5">
        <f t="shared" si="32"/>
        <v>0.69314718055994529</v>
      </c>
      <c r="S312" s="5">
        <f t="shared" si="33"/>
        <v>1</v>
      </c>
      <c r="T312" s="3">
        <f t="shared" si="34"/>
        <v>1</v>
      </c>
      <c r="U312" s="3" t="s">
        <v>102</v>
      </c>
      <c r="V312" s="3">
        <v>1</v>
      </c>
      <c r="W312" s="6">
        <v>6.2</v>
      </c>
      <c r="X312" s="4">
        <v>6</v>
      </c>
      <c r="Y312" s="5">
        <v>0.7</v>
      </c>
      <c r="Z312" s="5">
        <v>2</v>
      </c>
      <c r="AA312" s="3" t="s">
        <v>80</v>
      </c>
      <c r="AB312" s="3">
        <v>0</v>
      </c>
      <c r="AC312" s="3" t="s">
        <v>81</v>
      </c>
      <c r="AD312" s="3">
        <v>0</v>
      </c>
      <c r="AE312" s="3" t="s">
        <v>98</v>
      </c>
      <c r="AF312" s="3">
        <v>0</v>
      </c>
      <c r="AG312" s="3" t="s">
        <v>98</v>
      </c>
      <c r="AH312" s="3">
        <v>0</v>
      </c>
      <c r="AI312" s="3">
        <v>2</v>
      </c>
      <c r="AJ312" s="3">
        <v>1</v>
      </c>
      <c r="AK312" s="3">
        <v>1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1</v>
      </c>
      <c r="AT312" s="3">
        <v>0</v>
      </c>
      <c r="AU312" s="3">
        <v>0</v>
      </c>
      <c r="AV312" s="3">
        <v>1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1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7" t="s">
        <v>890</v>
      </c>
      <c r="BX312" s="7" t="s">
        <v>891</v>
      </c>
    </row>
    <row r="313" spans="1:76">
      <c r="A313" s="3" t="s">
        <v>892</v>
      </c>
      <c r="B313" s="3">
        <v>4020</v>
      </c>
      <c r="C313" s="3" t="s">
        <v>889</v>
      </c>
      <c r="D313" s="3">
        <v>4</v>
      </c>
      <c r="E313" s="4">
        <v>67</v>
      </c>
      <c r="F313" s="3" t="s">
        <v>87</v>
      </c>
      <c r="G313" s="3">
        <v>0</v>
      </c>
      <c r="H313" s="3">
        <v>0</v>
      </c>
      <c r="I313" s="4">
        <v>0</v>
      </c>
      <c r="J313" s="4">
        <v>1</v>
      </c>
      <c r="K313" s="4">
        <v>1</v>
      </c>
      <c r="L313" s="5">
        <f>IF(F313="F",65.79,IF(F313="M",79.94,""))</f>
        <v>65.790000000000006</v>
      </c>
      <c r="M313" s="3">
        <f t="shared" si="28"/>
        <v>0</v>
      </c>
      <c r="N313" s="3" t="str">
        <f t="shared" si="29"/>
        <v>VSC-non-halitosis</v>
      </c>
      <c r="O313" s="3" t="str">
        <f t="shared" si="30"/>
        <v>Clinical- / VSC-</v>
      </c>
      <c r="P313" s="5">
        <f t="shared" si="31"/>
        <v>0</v>
      </c>
      <c r="Q313" s="5">
        <f t="shared" si="32"/>
        <v>0</v>
      </c>
      <c r="R313" s="5">
        <f t="shared" si="32"/>
        <v>0.69314718055994529</v>
      </c>
      <c r="S313" s="5">
        <f t="shared" si="33"/>
        <v>1</v>
      </c>
      <c r="T313" s="3">
        <f t="shared" si="34"/>
        <v>1</v>
      </c>
      <c r="U313" s="3" t="s">
        <v>102</v>
      </c>
      <c r="V313" s="3">
        <v>1</v>
      </c>
      <c r="W313" s="6">
        <v>6.2</v>
      </c>
      <c r="X313" s="4">
        <v>6</v>
      </c>
      <c r="Y313" s="5">
        <v>0.7</v>
      </c>
      <c r="Z313" s="5">
        <v>2</v>
      </c>
      <c r="AA313" s="3" t="s">
        <v>108</v>
      </c>
      <c r="AB313" s="3">
        <v>1</v>
      </c>
      <c r="AC313" s="3" t="s">
        <v>138</v>
      </c>
      <c r="AD313" s="3">
        <v>1</v>
      </c>
      <c r="AE313" s="3" t="s">
        <v>90</v>
      </c>
      <c r="AF313" s="3">
        <v>1</v>
      </c>
      <c r="AG313" s="3" t="s">
        <v>98</v>
      </c>
      <c r="AH313" s="3">
        <v>0</v>
      </c>
      <c r="AI313" s="3">
        <v>2</v>
      </c>
      <c r="AJ313" s="3">
        <v>2</v>
      </c>
      <c r="AK313" s="3">
        <v>2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1</v>
      </c>
      <c r="AT313" s="3">
        <v>0</v>
      </c>
      <c r="AU313" s="3">
        <v>0</v>
      </c>
      <c r="AV313" s="3">
        <v>1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1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1</v>
      </c>
      <c r="BU313" s="3">
        <v>0</v>
      </c>
      <c r="BV313" s="3">
        <v>0</v>
      </c>
      <c r="BW313" s="7"/>
      <c r="BX313" s="7" t="s">
        <v>893</v>
      </c>
    </row>
    <row r="314" spans="1:76">
      <c r="A314" s="3" t="s">
        <v>894</v>
      </c>
      <c r="B314" s="3">
        <v>3146</v>
      </c>
      <c r="C314" s="3" t="s">
        <v>889</v>
      </c>
      <c r="D314" s="3">
        <v>4</v>
      </c>
      <c r="E314" s="4">
        <v>68</v>
      </c>
      <c r="F314" s="3" t="s">
        <v>87</v>
      </c>
      <c r="G314" s="3">
        <v>0</v>
      </c>
      <c r="H314" s="3">
        <v>0</v>
      </c>
      <c r="I314" s="4">
        <v>4</v>
      </c>
      <c r="J314" s="4">
        <v>1</v>
      </c>
      <c r="K314" s="4">
        <v>5</v>
      </c>
      <c r="L314" s="5">
        <f>IF(F314="F",65.79,IF(F314="M",79.94,""))</f>
        <v>65.790000000000006</v>
      </c>
      <c r="M314" s="3">
        <f t="shared" si="28"/>
        <v>0</v>
      </c>
      <c r="N314" s="3" t="str">
        <f t="shared" si="29"/>
        <v>VSC-non-halitosis</v>
      </c>
      <c r="O314" s="3" t="str">
        <f t="shared" si="30"/>
        <v>Clinical- / VSC-</v>
      </c>
      <c r="P314" s="5">
        <f t="shared" si="31"/>
        <v>1.6094379124341003</v>
      </c>
      <c r="Q314" s="5">
        <f t="shared" si="32"/>
        <v>1.6094379124341003</v>
      </c>
      <c r="R314" s="5">
        <f t="shared" si="32"/>
        <v>0.69314718055994529</v>
      </c>
      <c r="S314" s="5">
        <f t="shared" si="33"/>
        <v>0.2</v>
      </c>
      <c r="T314" s="3">
        <f t="shared" si="34"/>
        <v>0</v>
      </c>
      <c r="U314" s="3" t="s">
        <v>79</v>
      </c>
      <c r="V314" s="3">
        <v>2</v>
      </c>
      <c r="W314" s="6">
        <v>6.2</v>
      </c>
      <c r="X314" s="4">
        <v>6</v>
      </c>
      <c r="Y314" s="5">
        <v>0.7</v>
      </c>
      <c r="Z314" s="5">
        <v>2</v>
      </c>
      <c r="AA314" s="3" t="s">
        <v>80</v>
      </c>
      <c r="AB314" s="3">
        <v>0</v>
      </c>
      <c r="AC314" s="3" t="s">
        <v>81</v>
      </c>
      <c r="AD314" s="3">
        <v>0</v>
      </c>
      <c r="AE314" s="3" t="s">
        <v>98</v>
      </c>
      <c r="AF314" s="3">
        <v>0</v>
      </c>
      <c r="AG314" s="3" t="s">
        <v>98</v>
      </c>
      <c r="AH314" s="3">
        <v>0</v>
      </c>
      <c r="AI314" s="3">
        <v>2</v>
      </c>
      <c r="AJ314" s="3">
        <v>1</v>
      </c>
      <c r="AK314" s="3">
        <v>1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1</v>
      </c>
      <c r="AT314" s="3">
        <v>0</v>
      </c>
      <c r="AU314" s="3">
        <v>0</v>
      </c>
      <c r="AV314" s="3">
        <v>1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7" t="s">
        <v>890</v>
      </c>
      <c r="BX314" s="7" t="s">
        <v>891</v>
      </c>
    </row>
    <row r="315" spans="1:76">
      <c r="A315" s="3" t="s">
        <v>895</v>
      </c>
      <c r="B315" s="3">
        <v>4020</v>
      </c>
      <c r="C315" s="3" t="s">
        <v>889</v>
      </c>
      <c r="D315" s="3">
        <v>4</v>
      </c>
      <c r="E315" s="4">
        <v>68</v>
      </c>
      <c r="F315" s="3" t="s">
        <v>87</v>
      </c>
      <c r="G315" s="3">
        <v>0</v>
      </c>
      <c r="H315" s="3">
        <v>0</v>
      </c>
      <c r="I315" s="4">
        <v>4</v>
      </c>
      <c r="J315" s="4">
        <v>1</v>
      </c>
      <c r="K315" s="4">
        <v>5</v>
      </c>
      <c r="L315" s="5">
        <f>IF(F315="F",65.79,IF(F315="M",79.94,""))</f>
        <v>65.790000000000006</v>
      </c>
      <c r="M315" s="3">
        <f t="shared" si="28"/>
        <v>0</v>
      </c>
      <c r="N315" s="3" t="str">
        <f t="shared" si="29"/>
        <v>VSC-non-halitosis</v>
      </c>
      <c r="O315" s="3" t="str">
        <f t="shared" si="30"/>
        <v>Clinical- / VSC-</v>
      </c>
      <c r="P315" s="5">
        <f t="shared" si="31"/>
        <v>1.6094379124341003</v>
      </c>
      <c r="Q315" s="5">
        <f t="shared" si="32"/>
        <v>1.6094379124341003</v>
      </c>
      <c r="R315" s="5">
        <f t="shared" si="32"/>
        <v>0.69314718055994529</v>
      </c>
      <c r="S315" s="5">
        <f t="shared" si="33"/>
        <v>0.2</v>
      </c>
      <c r="T315" s="3">
        <f t="shared" si="34"/>
        <v>0</v>
      </c>
      <c r="U315" s="3" t="s">
        <v>79</v>
      </c>
      <c r="V315" s="3">
        <v>2</v>
      </c>
      <c r="W315" s="6">
        <v>6.2</v>
      </c>
      <c r="X315" s="4">
        <v>6</v>
      </c>
      <c r="Y315" s="5">
        <v>0.7</v>
      </c>
      <c r="Z315" s="5">
        <v>2</v>
      </c>
      <c r="AA315" s="3" t="s">
        <v>108</v>
      </c>
      <c r="AB315" s="3">
        <v>1</v>
      </c>
      <c r="AC315" s="3" t="s">
        <v>138</v>
      </c>
      <c r="AD315" s="3">
        <v>1</v>
      </c>
      <c r="AE315" s="3" t="s">
        <v>90</v>
      </c>
      <c r="AF315" s="3">
        <v>1</v>
      </c>
      <c r="AG315" s="3" t="s">
        <v>98</v>
      </c>
      <c r="AH315" s="3">
        <v>0</v>
      </c>
      <c r="AI315" s="3">
        <v>2</v>
      </c>
      <c r="AJ315" s="3">
        <v>2</v>
      </c>
      <c r="AK315" s="3">
        <v>2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1</v>
      </c>
      <c r="AT315" s="3">
        <v>0</v>
      </c>
      <c r="AU315" s="3">
        <v>0</v>
      </c>
      <c r="AV315" s="3">
        <v>1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1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1</v>
      </c>
      <c r="BU315" s="3">
        <v>0</v>
      </c>
      <c r="BV315" s="3">
        <v>0</v>
      </c>
      <c r="BW315" s="7"/>
      <c r="BX315" s="7" t="s">
        <v>893</v>
      </c>
    </row>
    <row r="316" spans="1:76">
      <c r="A316" s="3" t="s">
        <v>896</v>
      </c>
      <c r="B316" s="3">
        <v>5980</v>
      </c>
      <c r="C316" s="3" t="s">
        <v>897</v>
      </c>
      <c r="D316" s="3">
        <v>1</v>
      </c>
      <c r="E316" s="4">
        <v>71</v>
      </c>
      <c r="F316" s="3" t="s">
        <v>87</v>
      </c>
      <c r="G316" s="3">
        <v>0</v>
      </c>
      <c r="H316" s="3">
        <v>0</v>
      </c>
      <c r="I316" s="4">
        <v>0</v>
      </c>
      <c r="J316" s="4">
        <v>1</v>
      </c>
      <c r="K316" s="4">
        <v>1</v>
      </c>
      <c r="L316" s="5">
        <f>IF(F316="F",65.79,IF(F316="M",79.94,""))</f>
        <v>65.790000000000006</v>
      </c>
      <c r="M316" s="3">
        <f t="shared" si="28"/>
        <v>0</v>
      </c>
      <c r="N316" s="3" t="str">
        <f t="shared" si="29"/>
        <v>VSC-non-halitosis</v>
      </c>
      <c r="O316" s="3" t="str">
        <f t="shared" si="30"/>
        <v>Clinical- / VSC-</v>
      </c>
      <c r="P316" s="5">
        <f t="shared" si="31"/>
        <v>0</v>
      </c>
      <c r="Q316" s="5">
        <f t="shared" si="32"/>
        <v>0</v>
      </c>
      <c r="R316" s="5">
        <f t="shared" si="32"/>
        <v>0.69314718055994529</v>
      </c>
      <c r="S316" s="5">
        <f t="shared" si="33"/>
        <v>1</v>
      </c>
      <c r="T316" s="3">
        <f t="shared" si="34"/>
        <v>1</v>
      </c>
      <c r="U316" s="3" t="s">
        <v>102</v>
      </c>
      <c r="V316" s="3">
        <v>1</v>
      </c>
      <c r="W316" s="6">
        <v>6.8</v>
      </c>
      <c r="X316" s="4">
        <v>9</v>
      </c>
      <c r="Y316" s="5">
        <v>0.4</v>
      </c>
      <c r="Z316" s="5">
        <v>1</v>
      </c>
      <c r="AA316" s="3" t="s">
        <v>97</v>
      </c>
      <c r="AB316" s="3">
        <v>0</v>
      </c>
      <c r="AC316" s="3" t="s">
        <v>81</v>
      </c>
      <c r="AD316" s="3">
        <v>0</v>
      </c>
      <c r="AE316" s="3" t="s">
        <v>82</v>
      </c>
      <c r="AF316" s="3">
        <v>1</v>
      </c>
      <c r="AG316" s="3" t="s">
        <v>82</v>
      </c>
      <c r="AH316" s="3">
        <v>1</v>
      </c>
      <c r="AI316" s="3">
        <v>1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1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7" t="s">
        <v>898</v>
      </c>
      <c r="BX316" s="7"/>
    </row>
    <row r="317" spans="1:76">
      <c r="A317" s="3" t="s">
        <v>899</v>
      </c>
      <c r="B317" s="3">
        <v>3187</v>
      </c>
      <c r="C317" s="3" t="s">
        <v>900</v>
      </c>
      <c r="D317" s="3">
        <v>1</v>
      </c>
      <c r="E317" s="4">
        <v>69</v>
      </c>
      <c r="F317" s="3" t="s">
        <v>87</v>
      </c>
      <c r="G317" s="3">
        <v>0</v>
      </c>
      <c r="H317" s="3">
        <v>0</v>
      </c>
      <c r="I317" s="4">
        <v>10</v>
      </c>
      <c r="J317" s="4">
        <v>3</v>
      </c>
      <c r="K317" s="4">
        <v>13</v>
      </c>
      <c r="L317" s="5">
        <f>IF(F317="F",65.79,IF(F317="M",79.94,""))</f>
        <v>65.790000000000006</v>
      </c>
      <c r="M317" s="3">
        <f t="shared" si="28"/>
        <v>0</v>
      </c>
      <c r="N317" s="3" t="str">
        <f t="shared" si="29"/>
        <v>VSC-non-halitosis</v>
      </c>
      <c r="O317" s="3" t="str">
        <f t="shared" si="30"/>
        <v>Clinical- / VSC-</v>
      </c>
      <c r="P317" s="5">
        <f t="shared" si="31"/>
        <v>2.5649493574615367</v>
      </c>
      <c r="Q317" s="5">
        <f t="shared" si="32"/>
        <v>2.3978952727983707</v>
      </c>
      <c r="R317" s="5">
        <f t="shared" si="32"/>
        <v>1.3862943611198906</v>
      </c>
      <c r="S317" s="5">
        <f t="shared" si="33"/>
        <v>0.23076923076923078</v>
      </c>
      <c r="T317" s="3">
        <f t="shared" si="34"/>
        <v>0</v>
      </c>
      <c r="U317" s="3" t="s">
        <v>79</v>
      </c>
      <c r="V317" s="3">
        <v>2</v>
      </c>
      <c r="W317" s="6">
        <v>7.4</v>
      </c>
      <c r="X317" s="4">
        <v>8</v>
      </c>
      <c r="Y317" s="5">
        <v>1</v>
      </c>
      <c r="Z317" s="5">
        <v>2</v>
      </c>
      <c r="AA317" s="3" t="s">
        <v>80</v>
      </c>
      <c r="AB317" s="3">
        <v>0</v>
      </c>
      <c r="AC317" s="3" t="s">
        <v>113</v>
      </c>
      <c r="AD317" s="3">
        <v>0</v>
      </c>
      <c r="AE317" s="3" t="s">
        <v>98</v>
      </c>
      <c r="AF317" s="3">
        <v>0</v>
      </c>
      <c r="AG317" s="3" t="s">
        <v>98</v>
      </c>
      <c r="AH317" s="3">
        <v>0</v>
      </c>
      <c r="AI317" s="3">
        <v>4</v>
      </c>
      <c r="AJ317" s="3">
        <v>1</v>
      </c>
      <c r="AK317" s="3">
        <v>0</v>
      </c>
      <c r="AL317" s="3">
        <v>1</v>
      </c>
      <c r="AM317" s="3">
        <v>1</v>
      </c>
      <c r="AN317" s="3">
        <v>1</v>
      </c>
      <c r="AO317" s="3">
        <v>0</v>
      </c>
      <c r="AP317" s="3">
        <v>1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1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7" t="s">
        <v>134</v>
      </c>
      <c r="BX317" s="7" t="s">
        <v>901</v>
      </c>
    </row>
    <row r="318" spans="1:76">
      <c r="A318" s="3" t="s">
        <v>902</v>
      </c>
      <c r="B318" s="3">
        <v>3224</v>
      </c>
      <c r="C318" s="3" t="s">
        <v>903</v>
      </c>
      <c r="D318" s="3">
        <v>1</v>
      </c>
      <c r="E318" s="4">
        <v>54</v>
      </c>
      <c r="F318" s="3" t="s">
        <v>87</v>
      </c>
      <c r="G318" s="3">
        <v>0</v>
      </c>
      <c r="H318" s="3">
        <v>0</v>
      </c>
      <c r="I318" s="4">
        <v>486</v>
      </c>
      <c r="J318" s="4">
        <v>369</v>
      </c>
      <c r="K318" s="4">
        <v>855</v>
      </c>
      <c r="L318" s="5">
        <f>IF(F318="F",65.79,IF(F318="M",79.94,""))</f>
        <v>65.790000000000006</v>
      </c>
      <c r="M318" s="3">
        <f t="shared" si="28"/>
        <v>1</v>
      </c>
      <c r="N318" s="3" t="str">
        <f t="shared" si="29"/>
        <v>VSC-halitosis</v>
      </c>
      <c r="O318" s="3" t="str">
        <f t="shared" si="30"/>
        <v>Clinical- / VSC+</v>
      </c>
      <c r="P318" s="5">
        <f t="shared" si="31"/>
        <v>6.7511014689367599</v>
      </c>
      <c r="Q318" s="5">
        <f t="shared" si="32"/>
        <v>6.1882641230825897</v>
      </c>
      <c r="R318" s="5">
        <f t="shared" si="32"/>
        <v>5.9135030056382698</v>
      </c>
      <c r="S318" s="5">
        <f t="shared" si="33"/>
        <v>0.43157894736842106</v>
      </c>
      <c r="T318" s="3">
        <f t="shared" si="34"/>
        <v>0</v>
      </c>
      <c r="U318" s="3" t="s">
        <v>96</v>
      </c>
      <c r="V318" s="3">
        <v>3</v>
      </c>
      <c r="W318" s="6">
        <v>6.6</v>
      </c>
      <c r="X318" s="4">
        <v>4</v>
      </c>
      <c r="Y318" s="5">
        <v>0.2</v>
      </c>
      <c r="Z318" s="5">
        <v>2</v>
      </c>
      <c r="AA318" s="3" t="s">
        <v>80</v>
      </c>
      <c r="AB318" s="3">
        <v>0</v>
      </c>
      <c r="AC318" s="3" t="s">
        <v>113</v>
      </c>
      <c r="AD318" s="3">
        <v>0</v>
      </c>
      <c r="AE318" s="3" t="s">
        <v>82</v>
      </c>
      <c r="AF318" s="3">
        <v>1</v>
      </c>
      <c r="AG318" s="3" t="s">
        <v>82</v>
      </c>
      <c r="AH318" s="3">
        <v>1</v>
      </c>
      <c r="AI318" s="3">
        <v>1</v>
      </c>
      <c r="AJ318" s="3">
        <v>1</v>
      </c>
      <c r="AK318" s="3">
        <v>1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1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1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7" t="s">
        <v>119</v>
      </c>
      <c r="BX318" s="7" t="s">
        <v>904</v>
      </c>
    </row>
    <row r="319" spans="1:76" ht="68">
      <c r="A319" s="3" t="s">
        <v>905</v>
      </c>
      <c r="B319" s="3">
        <v>3275</v>
      </c>
      <c r="C319" s="3" t="s">
        <v>906</v>
      </c>
      <c r="D319" s="3">
        <v>1</v>
      </c>
      <c r="E319" s="4">
        <v>53</v>
      </c>
      <c r="F319" s="3" t="s">
        <v>87</v>
      </c>
      <c r="G319" s="3">
        <v>0</v>
      </c>
      <c r="H319" s="3">
        <v>1</v>
      </c>
      <c r="I319" s="4">
        <v>427</v>
      </c>
      <c r="J319" s="4">
        <v>254</v>
      </c>
      <c r="K319" s="4">
        <v>681</v>
      </c>
      <c r="L319" s="5">
        <f>IF(F319="F",65.79,IF(F319="M",79.94,""))</f>
        <v>65.790000000000006</v>
      </c>
      <c r="M319" s="3">
        <f t="shared" si="28"/>
        <v>1</v>
      </c>
      <c r="N319" s="3" t="str">
        <f t="shared" si="29"/>
        <v>VSC-halitosis</v>
      </c>
      <c r="O319" s="3" t="str">
        <f t="shared" si="30"/>
        <v>Clinical- / VSC+</v>
      </c>
      <c r="P319" s="5">
        <f t="shared" si="31"/>
        <v>6.523562306149512</v>
      </c>
      <c r="Q319" s="5">
        <f t="shared" si="32"/>
        <v>6.0591231955817966</v>
      </c>
      <c r="R319" s="5">
        <f t="shared" si="32"/>
        <v>5.5412635451584258</v>
      </c>
      <c r="S319" s="5">
        <f t="shared" si="33"/>
        <v>0.37298091042584436</v>
      </c>
      <c r="T319" s="3">
        <f t="shared" si="34"/>
        <v>0</v>
      </c>
      <c r="U319" s="3" t="s">
        <v>96</v>
      </c>
      <c r="V319" s="3">
        <v>3</v>
      </c>
      <c r="W319" s="6">
        <v>6.2</v>
      </c>
      <c r="X319" s="4">
        <v>6</v>
      </c>
      <c r="Y319" s="5">
        <v>0.2</v>
      </c>
      <c r="Z319" s="5">
        <v>0.8</v>
      </c>
      <c r="AA319" s="3" t="s">
        <v>80</v>
      </c>
      <c r="AB319" s="3">
        <v>0</v>
      </c>
      <c r="AC319" s="3" t="s">
        <v>81</v>
      </c>
      <c r="AD319" s="3">
        <v>0</v>
      </c>
      <c r="AE319" s="3" t="s">
        <v>82</v>
      </c>
      <c r="AF319" s="3">
        <v>1</v>
      </c>
      <c r="AG319" s="3" t="s">
        <v>82</v>
      </c>
      <c r="AH319" s="3">
        <v>1</v>
      </c>
      <c r="AI319" s="3">
        <v>6</v>
      </c>
      <c r="AJ319" s="3">
        <v>3</v>
      </c>
      <c r="AK319" s="3">
        <v>0</v>
      </c>
      <c r="AL319" s="3">
        <v>0</v>
      </c>
      <c r="AM319" s="3">
        <v>1</v>
      </c>
      <c r="AN319" s="3">
        <v>1</v>
      </c>
      <c r="AO319" s="3">
        <v>1</v>
      </c>
      <c r="AP319" s="3">
        <v>1</v>
      </c>
      <c r="AQ319" s="3">
        <v>0</v>
      </c>
      <c r="AR319" s="3">
        <v>0</v>
      </c>
      <c r="AS319" s="3">
        <v>0</v>
      </c>
      <c r="AT319" s="3">
        <v>1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1</v>
      </c>
      <c r="BC319" s="3">
        <v>0</v>
      </c>
      <c r="BD319" s="3">
        <v>0</v>
      </c>
      <c r="BE319" s="3">
        <v>0</v>
      </c>
      <c r="BF319" s="3">
        <v>1</v>
      </c>
      <c r="BG319" s="3">
        <v>0</v>
      </c>
      <c r="BH319" s="3">
        <v>0</v>
      </c>
      <c r="BI319" s="3">
        <v>0</v>
      </c>
      <c r="BJ319" s="3">
        <v>0</v>
      </c>
      <c r="BK319" s="3">
        <v>1</v>
      </c>
      <c r="BL319" s="3">
        <v>0</v>
      </c>
      <c r="BM319" s="3">
        <v>0</v>
      </c>
      <c r="BN319" s="3">
        <v>0</v>
      </c>
      <c r="BO319" s="3">
        <v>1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7" t="s">
        <v>907</v>
      </c>
      <c r="BX319" s="7" t="s">
        <v>908</v>
      </c>
    </row>
    <row r="320" spans="1:76">
      <c r="A320" s="3" t="s">
        <v>909</v>
      </c>
      <c r="B320" s="3">
        <v>3235</v>
      </c>
      <c r="C320" s="3" t="s">
        <v>910</v>
      </c>
      <c r="D320" s="3">
        <v>1</v>
      </c>
      <c r="E320" s="4">
        <v>76</v>
      </c>
      <c r="F320" s="3" t="s">
        <v>87</v>
      </c>
      <c r="G320" s="3">
        <v>0</v>
      </c>
      <c r="H320" s="3">
        <v>0</v>
      </c>
      <c r="I320" s="4">
        <v>3</v>
      </c>
      <c r="J320" s="4">
        <v>2</v>
      </c>
      <c r="K320" s="4">
        <v>5</v>
      </c>
      <c r="L320" s="5">
        <f>IF(F320="F",65.79,IF(F320="M",79.94,""))</f>
        <v>65.790000000000006</v>
      </c>
      <c r="M320" s="3">
        <f t="shared" si="28"/>
        <v>0</v>
      </c>
      <c r="N320" s="3" t="str">
        <f t="shared" si="29"/>
        <v>VSC-non-halitosis</v>
      </c>
      <c r="O320" s="3" t="str">
        <f t="shared" si="30"/>
        <v>Clinical- / VSC-</v>
      </c>
      <c r="P320" s="5">
        <f t="shared" si="31"/>
        <v>1.6094379124341003</v>
      </c>
      <c r="Q320" s="5">
        <f t="shared" si="32"/>
        <v>1.3862943611198906</v>
      </c>
      <c r="R320" s="5">
        <f t="shared" si="32"/>
        <v>1.0986122886681098</v>
      </c>
      <c r="S320" s="5">
        <f t="shared" si="33"/>
        <v>0.4</v>
      </c>
      <c r="T320" s="3">
        <f t="shared" si="34"/>
        <v>0</v>
      </c>
      <c r="U320" s="3" t="s">
        <v>79</v>
      </c>
      <c r="V320" s="3">
        <v>2</v>
      </c>
      <c r="W320" s="6">
        <v>7.4</v>
      </c>
      <c r="X320" s="4">
        <v>10</v>
      </c>
      <c r="Y320" s="5">
        <v>0.45</v>
      </c>
      <c r="Z320" s="5">
        <v>1</v>
      </c>
      <c r="AA320" s="3" t="s">
        <v>80</v>
      </c>
      <c r="AB320" s="3">
        <v>0</v>
      </c>
      <c r="AC320" s="3" t="s">
        <v>81</v>
      </c>
      <c r="AD320" s="3">
        <v>0</v>
      </c>
      <c r="AE320" s="3" t="s">
        <v>98</v>
      </c>
      <c r="AF320" s="3">
        <v>0</v>
      </c>
      <c r="AG320" s="3" t="s">
        <v>98</v>
      </c>
      <c r="AH320" s="3">
        <v>0</v>
      </c>
      <c r="AI320" s="3">
        <v>0</v>
      </c>
      <c r="AJ320" s="3">
        <v>2</v>
      </c>
      <c r="AK320" s="3">
        <v>2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1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1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7" t="s">
        <v>911</v>
      </c>
      <c r="BX320" s="7" t="s">
        <v>912</v>
      </c>
    </row>
    <row r="321" spans="1:76">
      <c r="A321" s="3" t="s">
        <v>913</v>
      </c>
      <c r="B321" s="3">
        <v>3236</v>
      </c>
      <c r="C321" s="3" t="s">
        <v>914</v>
      </c>
      <c r="D321" s="3">
        <v>1</v>
      </c>
      <c r="E321" s="4">
        <v>48</v>
      </c>
      <c r="F321" s="3" t="s">
        <v>78</v>
      </c>
      <c r="G321" s="3">
        <v>0</v>
      </c>
      <c r="H321" s="3">
        <v>0</v>
      </c>
      <c r="I321" s="4">
        <v>71</v>
      </c>
      <c r="J321" s="4">
        <v>38</v>
      </c>
      <c r="K321" s="4">
        <v>109</v>
      </c>
      <c r="L321" s="5">
        <f>IF(F321="F",65.79,IF(F321="M",79.94,""))</f>
        <v>79.94</v>
      </c>
      <c r="M321" s="3">
        <f t="shared" si="28"/>
        <v>1</v>
      </c>
      <c r="N321" s="3" t="str">
        <f t="shared" si="29"/>
        <v>VSC-halitosis</v>
      </c>
      <c r="O321" s="3" t="str">
        <f t="shared" si="30"/>
        <v>Clinical- / VSC+</v>
      </c>
      <c r="P321" s="5">
        <f t="shared" si="31"/>
        <v>4.6913478822291435</v>
      </c>
      <c r="Q321" s="5">
        <f t="shared" si="32"/>
        <v>4.2766661190160553</v>
      </c>
      <c r="R321" s="5">
        <f t="shared" si="32"/>
        <v>3.6635616461296463</v>
      </c>
      <c r="S321" s="5">
        <f t="shared" si="33"/>
        <v>0.34862385321100919</v>
      </c>
      <c r="T321" s="3">
        <f t="shared" si="34"/>
        <v>0</v>
      </c>
      <c r="U321" s="3" t="s">
        <v>96</v>
      </c>
      <c r="V321" s="3">
        <v>3</v>
      </c>
      <c r="W321" s="6">
        <v>6</v>
      </c>
      <c r="X321" s="4">
        <v>12</v>
      </c>
      <c r="Y321" s="5">
        <v>0.7</v>
      </c>
      <c r="Z321" s="5">
        <v>1.6</v>
      </c>
      <c r="AA321" s="3" t="s">
        <v>80</v>
      </c>
      <c r="AB321" s="3">
        <v>0</v>
      </c>
      <c r="AC321" s="3" t="s">
        <v>81</v>
      </c>
      <c r="AD321" s="3">
        <v>0</v>
      </c>
      <c r="AE321" s="3" t="s">
        <v>98</v>
      </c>
      <c r="AF321" s="3">
        <v>0</v>
      </c>
      <c r="AG321" s="3" t="s">
        <v>98</v>
      </c>
      <c r="AH321" s="3">
        <v>0</v>
      </c>
      <c r="AI321" s="3">
        <v>1</v>
      </c>
      <c r="AJ321" s="3">
        <v>1</v>
      </c>
      <c r="AK321" s="3">
        <v>0</v>
      </c>
      <c r="AL321" s="3">
        <v>0</v>
      </c>
      <c r="AM321" s="3">
        <v>0</v>
      </c>
      <c r="AN321" s="3">
        <v>1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1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7" t="s">
        <v>915</v>
      </c>
      <c r="BX321" s="7"/>
    </row>
    <row r="322" spans="1:76" ht="34">
      <c r="A322" s="3" t="s">
        <v>916</v>
      </c>
      <c r="B322" s="3">
        <v>3238</v>
      </c>
      <c r="C322" s="3" t="s">
        <v>917</v>
      </c>
      <c r="D322" s="3">
        <v>1</v>
      </c>
      <c r="E322" s="4">
        <v>67</v>
      </c>
      <c r="F322" s="3" t="s">
        <v>87</v>
      </c>
      <c r="G322" s="3">
        <v>0</v>
      </c>
      <c r="H322" s="3">
        <v>0</v>
      </c>
      <c r="I322" s="4">
        <v>476</v>
      </c>
      <c r="J322" s="4">
        <v>191</v>
      </c>
      <c r="K322" s="4">
        <v>667</v>
      </c>
      <c r="L322" s="5">
        <f>IF(F322="F",65.79,IF(F322="M",79.94,""))</f>
        <v>65.790000000000006</v>
      </c>
      <c r="M322" s="3">
        <f t="shared" ref="M322:M385" si="35">IF(AND(ISNUMBER(K322),ISNUMBER(L322),K322&gt;=L322),1,0)</f>
        <v>1</v>
      </c>
      <c r="N322" s="3" t="str">
        <f t="shared" ref="N322:N385" si="36">IF(M322=1,"VSC-halitosis","VSC-non-halitosis")</f>
        <v>VSC-halitosis</v>
      </c>
      <c r="O322" s="3" t="str">
        <f t="shared" ref="O322:O385" si="37">IF(AND(G322=1,M322=1),"Clinical+ / VSC+",IF(AND(G322=1,M322=0),"Clinical+ / VSC-",IF(AND(G322=0,M322=1),"Clinical- / VSC+","Clinical- / VSC-")))</f>
        <v>Clinical- / VSC+</v>
      </c>
      <c r="P322" s="5">
        <f t="shared" ref="P322:P385" si="38">IF(K322&gt;0,LN(K322),"")</f>
        <v>6.5027900459156234</v>
      </c>
      <c r="Q322" s="5">
        <f t="shared" ref="Q322:R385" si="39">IF(ISNUMBER(I322),LN(I322+1),"")</f>
        <v>6.1675164908883415</v>
      </c>
      <c r="R322" s="5">
        <f t="shared" si="39"/>
        <v>5.2574953720277815</v>
      </c>
      <c r="S322" s="5">
        <f t="shared" ref="S322:S385" si="40">IF(K322&gt;0,J322/K322,"")</f>
        <v>0.28635682158920539</v>
      </c>
      <c r="T322" s="3">
        <f t="shared" ref="T322:T385" si="41">IF(J322&gt;I322,1,0)</f>
        <v>0</v>
      </c>
      <c r="U322" s="3" t="s">
        <v>96</v>
      </c>
      <c r="V322" s="3">
        <v>3</v>
      </c>
      <c r="W322" s="6">
        <v>6.2</v>
      </c>
      <c r="X322" s="4">
        <v>12</v>
      </c>
      <c r="Y322" s="5">
        <v>0.4</v>
      </c>
      <c r="Z322" s="5">
        <v>1</v>
      </c>
      <c r="AA322" s="3" t="s">
        <v>80</v>
      </c>
      <c r="AB322" s="3">
        <v>0</v>
      </c>
      <c r="AC322" s="3" t="s">
        <v>81</v>
      </c>
      <c r="AD322" s="3">
        <v>0</v>
      </c>
      <c r="AE322" s="3" t="s">
        <v>82</v>
      </c>
      <c r="AF322" s="3">
        <v>1</v>
      </c>
      <c r="AG322" s="3" t="s">
        <v>82</v>
      </c>
      <c r="AH322" s="3">
        <v>1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7" t="s">
        <v>918</v>
      </c>
      <c r="BX322" s="7" t="s">
        <v>919</v>
      </c>
    </row>
    <row r="323" spans="1:76">
      <c r="A323" s="3" t="s">
        <v>920</v>
      </c>
      <c r="B323" s="3">
        <v>3509</v>
      </c>
      <c r="C323" s="3" t="s">
        <v>921</v>
      </c>
      <c r="D323" s="3">
        <v>1</v>
      </c>
      <c r="E323" s="4">
        <v>58</v>
      </c>
      <c r="F323" s="3" t="s">
        <v>87</v>
      </c>
      <c r="G323" s="3">
        <v>0</v>
      </c>
      <c r="H323" s="3">
        <v>0</v>
      </c>
      <c r="I323" s="4">
        <v>2000</v>
      </c>
      <c r="J323" s="4">
        <v>247</v>
      </c>
      <c r="K323" s="4">
        <v>2247</v>
      </c>
      <c r="L323" s="5">
        <f>IF(F323="F",65.79,IF(F323="M",79.94,""))</f>
        <v>65.790000000000006</v>
      </c>
      <c r="M323" s="3">
        <f t="shared" si="35"/>
        <v>1</v>
      </c>
      <c r="N323" s="3" t="str">
        <f t="shared" si="36"/>
        <v>VSC-halitosis</v>
      </c>
      <c r="O323" s="3" t="str">
        <f t="shared" si="37"/>
        <v>Clinical- / VSC+</v>
      </c>
      <c r="P323" s="5">
        <f t="shared" si="38"/>
        <v>7.7173512721853292</v>
      </c>
      <c r="Q323" s="5">
        <f t="shared" si="39"/>
        <v>7.6014023345837334</v>
      </c>
      <c r="R323" s="5">
        <f t="shared" si="39"/>
        <v>5.5134287461649825</v>
      </c>
      <c r="S323" s="5">
        <f t="shared" si="40"/>
        <v>0.10992434356920339</v>
      </c>
      <c r="T323" s="3">
        <f t="shared" si="41"/>
        <v>0</v>
      </c>
      <c r="U323" s="3" t="s">
        <v>96</v>
      </c>
      <c r="V323" s="3">
        <v>3</v>
      </c>
      <c r="W323" s="6">
        <v>7.6</v>
      </c>
      <c r="X323" s="4">
        <v>12</v>
      </c>
      <c r="Y323" s="5">
        <v>0.85</v>
      </c>
      <c r="Z323" s="5">
        <v>1.54</v>
      </c>
      <c r="AA323" s="3" t="s">
        <v>80</v>
      </c>
      <c r="AB323" s="3">
        <v>0</v>
      </c>
      <c r="AC323" s="3" t="s">
        <v>113</v>
      </c>
      <c r="AD323" s="3">
        <v>0</v>
      </c>
      <c r="AE323" s="3" t="s">
        <v>98</v>
      </c>
      <c r="AF323" s="3">
        <v>0</v>
      </c>
      <c r="AG323" s="3" t="s">
        <v>98</v>
      </c>
      <c r="AH323" s="3">
        <v>0</v>
      </c>
      <c r="AI323" s="3">
        <v>2</v>
      </c>
      <c r="AJ323" s="3">
        <v>1</v>
      </c>
      <c r="AK323" s="3">
        <v>1</v>
      </c>
      <c r="AL323" s="3">
        <v>1</v>
      </c>
      <c r="AM323" s="3">
        <v>0</v>
      </c>
      <c r="AN323" s="3">
        <v>0</v>
      </c>
      <c r="AO323" s="3">
        <v>0</v>
      </c>
      <c r="AP323" s="3">
        <v>1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1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7" t="s">
        <v>173</v>
      </c>
      <c r="BX323" s="7" t="s">
        <v>922</v>
      </c>
    </row>
    <row r="324" spans="1:76" ht="34">
      <c r="A324" s="3" t="s">
        <v>923</v>
      </c>
      <c r="B324" s="3">
        <v>3251</v>
      </c>
      <c r="C324" s="3" t="s">
        <v>924</v>
      </c>
      <c r="D324" s="3">
        <v>1</v>
      </c>
      <c r="E324" s="4">
        <v>59</v>
      </c>
      <c r="F324" s="3" t="s">
        <v>87</v>
      </c>
      <c r="G324" s="3">
        <v>0</v>
      </c>
      <c r="H324" s="3">
        <v>0</v>
      </c>
      <c r="I324" s="4">
        <v>0</v>
      </c>
      <c r="J324" s="4">
        <v>6</v>
      </c>
      <c r="K324" s="4">
        <v>6</v>
      </c>
      <c r="L324" s="5">
        <f>IF(F324="F",65.79,IF(F324="M",79.94,""))</f>
        <v>65.790000000000006</v>
      </c>
      <c r="M324" s="3">
        <f t="shared" si="35"/>
        <v>0</v>
      </c>
      <c r="N324" s="3" t="str">
        <f t="shared" si="36"/>
        <v>VSC-non-halitosis</v>
      </c>
      <c r="O324" s="3" t="str">
        <f t="shared" si="37"/>
        <v>Clinical- / VSC-</v>
      </c>
      <c r="P324" s="5">
        <f t="shared" si="38"/>
        <v>1.791759469228055</v>
      </c>
      <c r="Q324" s="5">
        <f t="shared" si="39"/>
        <v>0</v>
      </c>
      <c r="R324" s="5">
        <f t="shared" si="39"/>
        <v>1.9459101490553132</v>
      </c>
      <c r="S324" s="5">
        <f t="shared" si="40"/>
        <v>1</v>
      </c>
      <c r="T324" s="3">
        <f t="shared" si="41"/>
        <v>1</v>
      </c>
      <c r="U324" s="3" t="s">
        <v>79</v>
      </c>
      <c r="V324" s="3">
        <v>2</v>
      </c>
      <c r="W324" s="6">
        <v>7.4</v>
      </c>
      <c r="X324" s="4">
        <v>12</v>
      </c>
      <c r="Y324" s="5">
        <v>0.6</v>
      </c>
      <c r="Z324" s="5">
        <v>1.5</v>
      </c>
      <c r="AA324" s="3" t="s">
        <v>80</v>
      </c>
      <c r="AB324" s="3">
        <v>0</v>
      </c>
      <c r="AC324" s="3" t="s">
        <v>81</v>
      </c>
      <c r="AD324" s="3">
        <v>0</v>
      </c>
      <c r="AE324" s="3" t="s">
        <v>98</v>
      </c>
      <c r="AF324" s="3">
        <v>0</v>
      </c>
      <c r="AG324" s="3" t="s">
        <v>98</v>
      </c>
      <c r="AH324" s="3">
        <v>0</v>
      </c>
      <c r="AI324" s="3">
        <v>4</v>
      </c>
      <c r="AJ324" s="3">
        <v>1</v>
      </c>
      <c r="AK324" s="3">
        <v>0</v>
      </c>
      <c r="AL324" s="3">
        <v>1</v>
      </c>
      <c r="AM324" s="3">
        <v>0</v>
      </c>
      <c r="AN324" s="3">
        <v>1</v>
      </c>
      <c r="AO324" s="3">
        <v>1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1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1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7" t="s">
        <v>925</v>
      </c>
      <c r="BX324" s="7" t="s">
        <v>926</v>
      </c>
    </row>
    <row r="325" spans="1:76">
      <c r="A325" s="3" t="s">
        <v>927</v>
      </c>
      <c r="B325" s="3">
        <v>3254</v>
      </c>
      <c r="C325" s="3" t="s">
        <v>928</v>
      </c>
      <c r="D325" s="3">
        <v>1</v>
      </c>
      <c r="E325" s="4">
        <v>72</v>
      </c>
      <c r="F325" s="3" t="s">
        <v>87</v>
      </c>
      <c r="G325" s="3">
        <v>0</v>
      </c>
      <c r="H325" s="3">
        <v>0</v>
      </c>
      <c r="I325" s="4">
        <v>55</v>
      </c>
      <c r="J325" s="4">
        <v>62</v>
      </c>
      <c r="K325" s="4">
        <v>117</v>
      </c>
      <c r="L325" s="5">
        <f>IF(F325="F",65.79,IF(F325="M",79.94,""))</f>
        <v>65.790000000000006</v>
      </c>
      <c r="M325" s="3">
        <f t="shared" si="35"/>
        <v>1</v>
      </c>
      <c r="N325" s="3" t="str">
        <f t="shared" si="36"/>
        <v>VSC-halitosis</v>
      </c>
      <c r="O325" s="3" t="str">
        <f t="shared" si="37"/>
        <v>Clinical- / VSC+</v>
      </c>
      <c r="P325" s="5">
        <f t="shared" si="38"/>
        <v>4.7621739347977563</v>
      </c>
      <c r="Q325" s="5">
        <f t="shared" si="39"/>
        <v>4.0253516907351496</v>
      </c>
      <c r="R325" s="5">
        <f t="shared" si="39"/>
        <v>4.1431347263915326</v>
      </c>
      <c r="S325" s="5">
        <f t="shared" si="40"/>
        <v>0.52991452991452992</v>
      </c>
      <c r="T325" s="3">
        <f t="shared" si="41"/>
        <v>1</v>
      </c>
      <c r="U325" s="3" t="s">
        <v>96</v>
      </c>
      <c r="V325" s="3">
        <v>3</v>
      </c>
      <c r="W325" s="6">
        <v>6.4</v>
      </c>
      <c r="X325" s="4">
        <v>11</v>
      </c>
      <c r="Y325" s="5">
        <v>0.4</v>
      </c>
      <c r="Z325" s="5">
        <v>2.4</v>
      </c>
      <c r="AA325" s="3" t="s">
        <v>80</v>
      </c>
      <c r="AB325" s="3">
        <v>0</v>
      </c>
      <c r="AC325" s="3" t="s">
        <v>81</v>
      </c>
      <c r="AD325" s="3">
        <v>0</v>
      </c>
      <c r="AE325" s="3" t="s">
        <v>82</v>
      </c>
      <c r="AF325" s="3">
        <v>1</v>
      </c>
      <c r="AG325" s="3" t="s">
        <v>82</v>
      </c>
      <c r="AH325" s="3">
        <v>1</v>
      </c>
      <c r="AI325" s="3">
        <v>3</v>
      </c>
      <c r="AJ325" s="3">
        <v>4</v>
      </c>
      <c r="AK325" s="3">
        <v>3</v>
      </c>
      <c r="AL325" s="3">
        <v>1</v>
      </c>
      <c r="AM325" s="3">
        <v>0</v>
      </c>
      <c r="AN325" s="3">
        <v>1</v>
      </c>
      <c r="AO325" s="3">
        <v>0</v>
      </c>
      <c r="AP325" s="3">
        <v>0</v>
      </c>
      <c r="AQ325" s="3">
        <v>0</v>
      </c>
      <c r="AR325" s="3">
        <v>0</v>
      </c>
      <c r="AS325" s="3">
        <v>1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1</v>
      </c>
      <c r="BG325" s="3">
        <v>1</v>
      </c>
      <c r="BH325" s="3">
        <v>0</v>
      </c>
      <c r="BI325" s="3">
        <v>0</v>
      </c>
      <c r="BJ325" s="3">
        <v>1</v>
      </c>
      <c r="BK325" s="3">
        <v>0</v>
      </c>
      <c r="BL325" s="3">
        <v>0</v>
      </c>
      <c r="BM325" s="3">
        <v>0</v>
      </c>
      <c r="BN325" s="3">
        <v>1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7" t="s">
        <v>186</v>
      </c>
      <c r="BX325" s="7" t="s">
        <v>929</v>
      </c>
    </row>
    <row r="326" spans="1:76">
      <c r="A326" s="3" t="s">
        <v>930</v>
      </c>
      <c r="B326" s="3">
        <v>3269</v>
      </c>
      <c r="C326" s="3" t="s">
        <v>931</v>
      </c>
      <c r="D326" s="3">
        <v>1</v>
      </c>
      <c r="E326" s="4">
        <v>81</v>
      </c>
      <c r="F326" s="3" t="s">
        <v>87</v>
      </c>
      <c r="G326" s="3">
        <v>0</v>
      </c>
      <c r="H326" s="3">
        <v>0</v>
      </c>
      <c r="I326" s="4">
        <v>9</v>
      </c>
      <c r="J326" s="4">
        <v>1</v>
      </c>
      <c r="K326" s="4">
        <v>10</v>
      </c>
      <c r="L326" s="5">
        <f>IF(F326="F",65.79,IF(F326="M",79.94,""))</f>
        <v>65.790000000000006</v>
      </c>
      <c r="M326" s="3">
        <f t="shared" si="35"/>
        <v>0</v>
      </c>
      <c r="N326" s="3" t="str">
        <f t="shared" si="36"/>
        <v>VSC-non-halitosis</v>
      </c>
      <c r="O326" s="3" t="str">
        <f t="shared" si="37"/>
        <v>Clinical- / VSC-</v>
      </c>
      <c r="P326" s="5">
        <f t="shared" si="38"/>
        <v>2.3025850929940459</v>
      </c>
      <c r="Q326" s="5">
        <f t="shared" si="39"/>
        <v>2.3025850929940459</v>
      </c>
      <c r="R326" s="5">
        <f t="shared" si="39"/>
        <v>0.69314718055994529</v>
      </c>
      <c r="S326" s="5">
        <f t="shared" si="40"/>
        <v>0.1</v>
      </c>
      <c r="T326" s="3">
        <f t="shared" si="41"/>
        <v>0</v>
      </c>
      <c r="U326" s="3" t="s">
        <v>79</v>
      </c>
      <c r="V326" s="3">
        <v>2</v>
      </c>
      <c r="W326" s="6">
        <v>7.4</v>
      </c>
      <c r="X326" s="4">
        <v>12</v>
      </c>
      <c r="Y326" s="5">
        <v>0.4</v>
      </c>
      <c r="Z326" s="5">
        <v>1</v>
      </c>
      <c r="AA326" s="3" t="s">
        <v>80</v>
      </c>
      <c r="AB326" s="3">
        <v>0</v>
      </c>
      <c r="AC326" s="3" t="s">
        <v>81</v>
      </c>
      <c r="AD326" s="3">
        <v>0</v>
      </c>
      <c r="AE326" s="3" t="s">
        <v>82</v>
      </c>
      <c r="AF326" s="3">
        <v>1</v>
      </c>
      <c r="AG326" s="3" t="s">
        <v>82</v>
      </c>
      <c r="AH326" s="3">
        <v>1</v>
      </c>
      <c r="AI326" s="3">
        <v>1</v>
      </c>
      <c r="AJ326" s="3">
        <v>1</v>
      </c>
      <c r="AK326" s="3">
        <v>1</v>
      </c>
      <c r="AL326" s="3">
        <v>1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1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7" t="s">
        <v>186</v>
      </c>
      <c r="BX326" s="7" t="s">
        <v>932</v>
      </c>
    </row>
    <row r="327" spans="1:76">
      <c r="A327" s="3" t="s">
        <v>933</v>
      </c>
      <c r="B327" s="3">
        <v>3273</v>
      </c>
      <c r="C327" s="3" t="s">
        <v>934</v>
      </c>
      <c r="D327" s="3">
        <v>1</v>
      </c>
      <c r="E327" s="4">
        <v>62</v>
      </c>
      <c r="F327" s="3" t="s">
        <v>87</v>
      </c>
      <c r="G327" s="3">
        <v>0</v>
      </c>
      <c r="H327" s="3">
        <v>0</v>
      </c>
      <c r="I327" s="4">
        <v>27</v>
      </c>
      <c r="J327" s="4">
        <v>54</v>
      </c>
      <c r="K327" s="4">
        <v>81</v>
      </c>
      <c r="L327" s="5">
        <f>IF(F327="F",65.79,IF(F327="M",79.94,""))</f>
        <v>65.790000000000006</v>
      </c>
      <c r="M327" s="3">
        <f t="shared" si="35"/>
        <v>1</v>
      </c>
      <c r="N327" s="3" t="str">
        <f t="shared" si="36"/>
        <v>VSC-halitosis</v>
      </c>
      <c r="O327" s="3" t="str">
        <f t="shared" si="37"/>
        <v>Clinical- / VSC+</v>
      </c>
      <c r="P327" s="5">
        <f t="shared" si="38"/>
        <v>4.3944491546724391</v>
      </c>
      <c r="Q327" s="5">
        <f t="shared" si="39"/>
        <v>3.3322045101752038</v>
      </c>
      <c r="R327" s="5">
        <f t="shared" si="39"/>
        <v>4.0073331852324712</v>
      </c>
      <c r="S327" s="5">
        <f t="shared" si="40"/>
        <v>0.66666666666666663</v>
      </c>
      <c r="T327" s="3">
        <f t="shared" si="41"/>
        <v>1</v>
      </c>
      <c r="U327" s="3" t="s">
        <v>96</v>
      </c>
      <c r="V327" s="3">
        <v>3</v>
      </c>
      <c r="W327" s="6">
        <v>7</v>
      </c>
      <c r="X327" s="4">
        <v>11</v>
      </c>
      <c r="Y327" s="5">
        <v>0.25</v>
      </c>
      <c r="Z327" s="5">
        <v>1.5</v>
      </c>
      <c r="AA327" s="3" t="s">
        <v>88</v>
      </c>
      <c r="AB327" s="3">
        <v>0</v>
      </c>
      <c r="AC327" s="3" t="s">
        <v>81</v>
      </c>
      <c r="AD327" s="3">
        <v>0</v>
      </c>
      <c r="AE327" s="3" t="s">
        <v>82</v>
      </c>
      <c r="AF327" s="3">
        <v>1</v>
      </c>
      <c r="AG327" s="3" t="s">
        <v>82</v>
      </c>
      <c r="AH327" s="3">
        <v>1</v>
      </c>
      <c r="AI327" s="3">
        <v>3</v>
      </c>
      <c r="AJ327" s="3">
        <v>3</v>
      </c>
      <c r="AK327" s="3">
        <v>1</v>
      </c>
      <c r="AL327" s="3">
        <v>1</v>
      </c>
      <c r="AM327" s="3">
        <v>1</v>
      </c>
      <c r="AN327" s="3">
        <v>0</v>
      </c>
      <c r="AO327" s="3">
        <v>0</v>
      </c>
      <c r="AP327" s="3">
        <v>0</v>
      </c>
      <c r="AQ327" s="3">
        <v>1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1</v>
      </c>
      <c r="BH327" s="3">
        <v>1</v>
      </c>
      <c r="BI327" s="3">
        <v>0</v>
      </c>
      <c r="BJ327" s="3">
        <v>0</v>
      </c>
      <c r="BK327" s="3">
        <v>1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7" t="s">
        <v>134</v>
      </c>
      <c r="BX327" s="7" t="s">
        <v>935</v>
      </c>
    </row>
    <row r="328" spans="1:76">
      <c r="A328" s="3" t="s">
        <v>936</v>
      </c>
      <c r="B328" s="3">
        <v>3270</v>
      </c>
      <c r="C328" s="3" t="s">
        <v>937</v>
      </c>
      <c r="D328" s="3">
        <v>1</v>
      </c>
      <c r="E328" s="4">
        <v>49</v>
      </c>
      <c r="F328" s="3" t="s">
        <v>78</v>
      </c>
      <c r="G328" s="3">
        <v>0</v>
      </c>
      <c r="H328" s="3">
        <v>0</v>
      </c>
      <c r="I328" s="4">
        <v>1059</v>
      </c>
      <c r="J328" s="4">
        <v>151</v>
      </c>
      <c r="K328" s="4">
        <v>1210</v>
      </c>
      <c r="L328" s="5">
        <f>IF(F328="F",65.79,IF(F328="M",79.94,""))</f>
        <v>79.94</v>
      </c>
      <c r="M328" s="3">
        <f t="shared" si="35"/>
        <v>1</v>
      </c>
      <c r="N328" s="3" t="str">
        <f t="shared" si="36"/>
        <v>VSC-halitosis</v>
      </c>
      <c r="O328" s="3" t="str">
        <f t="shared" si="37"/>
        <v>Clinical- / VSC+</v>
      </c>
      <c r="P328" s="5">
        <f t="shared" si="38"/>
        <v>7.0983756385907864</v>
      </c>
      <c r="Q328" s="5">
        <f t="shared" si="39"/>
        <v>6.9660241871061128</v>
      </c>
      <c r="R328" s="5">
        <f t="shared" si="39"/>
        <v>5.0238805208462765</v>
      </c>
      <c r="S328" s="5">
        <f t="shared" si="40"/>
        <v>0.12479338842975207</v>
      </c>
      <c r="T328" s="3">
        <f t="shared" si="41"/>
        <v>0</v>
      </c>
      <c r="U328" s="3" t="s">
        <v>96</v>
      </c>
      <c r="V328" s="3">
        <v>3</v>
      </c>
      <c r="W328" s="6">
        <v>7</v>
      </c>
      <c r="X328" s="4">
        <v>12</v>
      </c>
      <c r="Y328" s="5">
        <v>0.9</v>
      </c>
      <c r="Z328" s="5">
        <v>2</v>
      </c>
      <c r="AA328" s="3" t="s">
        <v>80</v>
      </c>
      <c r="AB328" s="3">
        <v>0</v>
      </c>
      <c r="AC328" s="3" t="s">
        <v>81</v>
      </c>
      <c r="AD328" s="3">
        <v>0</v>
      </c>
      <c r="AE328" s="3" t="s">
        <v>82</v>
      </c>
      <c r="AF328" s="3">
        <v>1</v>
      </c>
      <c r="AG328" s="3" t="s">
        <v>82</v>
      </c>
      <c r="AH328" s="3">
        <v>1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7" t="s">
        <v>119</v>
      </c>
      <c r="BX328" s="7" t="s">
        <v>938</v>
      </c>
    </row>
    <row r="329" spans="1:76">
      <c r="A329" s="3" t="s">
        <v>939</v>
      </c>
      <c r="B329" s="3">
        <v>3853</v>
      </c>
      <c r="C329" s="3" t="s">
        <v>940</v>
      </c>
      <c r="D329" s="3">
        <v>1</v>
      </c>
      <c r="E329" s="4">
        <v>57</v>
      </c>
      <c r="F329" s="3" t="s">
        <v>78</v>
      </c>
      <c r="G329" s="3">
        <v>0</v>
      </c>
      <c r="H329" s="3">
        <v>0</v>
      </c>
      <c r="I329" s="4">
        <v>0</v>
      </c>
      <c r="J329" s="4">
        <v>1</v>
      </c>
      <c r="K329" s="4">
        <v>1</v>
      </c>
      <c r="L329" s="5">
        <f>IF(F329="F",65.79,IF(F329="M",79.94,""))</f>
        <v>79.94</v>
      </c>
      <c r="M329" s="3">
        <f t="shared" si="35"/>
        <v>0</v>
      </c>
      <c r="N329" s="3" t="str">
        <f t="shared" si="36"/>
        <v>VSC-non-halitosis</v>
      </c>
      <c r="O329" s="3" t="str">
        <f t="shared" si="37"/>
        <v>Clinical- / VSC-</v>
      </c>
      <c r="P329" s="5">
        <f t="shared" si="38"/>
        <v>0</v>
      </c>
      <c r="Q329" s="5">
        <f t="shared" si="39"/>
        <v>0</v>
      </c>
      <c r="R329" s="5">
        <f t="shared" si="39"/>
        <v>0.69314718055994529</v>
      </c>
      <c r="S329" s="5">
        <f t="shared" si="40"/>
        <v>1</v>
      </c>
      <c r="T329" s="3">
        <f t="shared" si="41"/>
        <v>1</v>
      </c>
      <c r="U329" s="3" t="s">
        <v>102</v>
      </c>
      <c r="V329" s="3">
        <v>1</v>
      </c>
      <c r="W329" s="6">
        <v>6.2</v>
      </c>
      <c r="X329" s="4">
        <v>12</v>
      </c>
      <c r="Y329" s="5">
        <v>0.3</v>
      </c>
      <c r="Z329" s="5">
        <v>0.4</v>
      </c>
      <c r="AA329" s="3" t="s">
        <v>80</v>
      </c>
      <c r="AB329" s="3">
        <v>0</v>
      </c>
      <c r="AC329" s="3" t="s">
        <v>81</v>
      </c>
      <c r="AD329" s="3">
        <v>0</v>
      </c>
      <c r="AE329" s="3" t="s">
        <v>82</v>
      </c>
      <c r="AF329" s="3">
        <v>1</v>
      </c>
      <c r="AG329" s="3" t="s">
        <v>98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7" t="s">
        <v>119</v>
      </c>
      <c r="BX329" s="7" t="s">
        <v>119</v>
      </c>
    </row>
    <row r="330" spans="1:76" ht="34">
      <c r="A330" s="3" t="s">
        <v>941</v>
      </c>
      <c r="B330" s="3">
        <v>3282</v>
      </c>
      <c r="C330" s="3" t="s">
        <v>942</v>
      </c>
      <c r="D330" s="3">
        <v>1</v>
      </c>
      <c r="E330" s="4">
        <v>74</v>
      </c>
      <c r="F330" s="3" t="s">
        <v>87</v>
      </c>
      <c r="G330" s="3">
        <v>0</v>
      </c>
      <c r="H330" s="3">
        <v>0</v>
      </c>
      <c r="I330" s="4">
        <v>1</v>
      </c>
      <c r="J330" s="4">
        <v>0</v>
      </c>
      <c r="K330" s="4">
        <v>1</v>
      </c>
      <c r="L330" s="5">
        <f>IF(F330="F",65.79,IF(F330="M",79.94,""))</f>
        <v>65.790000000000006</v>
      </c>
      <c r="M330" s="3">
        <f t="shared" si="35"/>
        <v>0</v>
      </c>
      <c r="N330" s="3" t="str">
        <f t="shared" si="36"/>
        <v>VSC-non-halitosis</v>
      </c>
      <c r="O330" s="3" t="str">
        <f t="shared" si="37"/>
        <v>Clinical- / VSC-</v>
      </c>
      <c r="P330" s="5">
        <f t="shared" si="38"/>
        <v>0</v>
      </c>
      <c r="Q330" s="5">
        <f t="shared" si="39"/>
        <v>0.69314718055994529</v>
      </c>
      <c r="R330" s="5">
        <f t="shared" si="39"/>
        <v>0</v>
      </c>
      <c r="S330" s="5">
        <f t="shared" si="40"/>
        <v>0</v>
      </c>
      <c r="T330" s="3">
        <f t="shared" si="41"/>
        <v>0</v>
      </c>
      <c r="U330" s="3" t="s">
        <v>102</v>
      </c>
      <c r="V330" s="3">
        <v>1</v>
      </c>
      <c r="W330" s="6">
        <v>6.6</v>
      </c>
      <c r="X330" s="4">
        <v>9</v>
      </c>
      <c r="Y330" s="5">
        <v>0.3</v>
      </c>
      <c r="Z330" s="5">
        <v>1.2</v>
      </c>
      <c r="AA330" s="3" t="s">
        <v>80</v>
      </c>
      <c r="AB330" s="3">
        <v>0</v>
      </c>
      <c r="AC330" s="3" t="s">
        <v>81</v>
      </c>
      <c r="AD330" s="3">
        <v>0</v>
      </c>
      <c r="AE330" s="3" t="s">
        <v>82</v>
      </c>
      <c r="AF330" s="3">
        <v>1</v>
      </c>
      <c r="AG330" s="3" t="s">
        <v>82</v>
      </c>
      <c r="AH330" s="3">
        <v>1</v>
      </c>
      <c r="AI330" s="3">
        <v>1</v>
      </c>
      <c r="AJ330" s="3">
        <v>2</v>
      </c>
      <c r="AK330" s="3">
        <v>1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1</v>
      </c>
      <c r="BJ330" s="3">
        <v>1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7" t="s">
        <v>943</v>
      </c>
      <c r="BX330" s="7" t="s">
        <v>944</v>
      </c>
    </row>
    <row r="331" spans="1:76">
      <c r="A331" s="3" t="s">
        <v>945</v>
      </c>
      <c r="B331" s="3">
        <v>3283</v>
      </c>
      <c r="C331" s="3" t="s">
        <v>946</v>
      </c>
      <c r="D331" s="3">
        <v>1</v>
      </c>
      <c r="E331" s="4">
        <v>73</v>
      </c>
      <c r="F331" s="3" t="s">
        <v>87</v>
      </c>
      <c r="G331" s="3">
        <v>0</v>
      </c>
      <c r="H331" s="3">
        <v>0</v>
      </c>
      <c r="I331" s="4">
        <v>0</v>
      </c>
      <c r="J331" s="4">
        <v>1</v>
      </c>
      <c r="K331" s="4">
        <v>1</v>
      </c>
      <c r="L331" s="5">
        <f>IF(F331="F",65.79,IF(F331="M",79.94,""))</f>
        <v>65.790000000000006</v>
      </c>
      <c r="M331" s="3">
        <f t="shared" si="35"/>
        <v>0</v>
      </c>
      <c r="N331" s="3" t="str">
        <f t="shared" si="36"/>
        <v>VSC-non-halitosis</v>
      </c>
      <c r="O331" s="3" t="str">
        <f t="shared" si="37"/>
        <v>Clinical- / VSC-</v>
      </c>
      <c r="P331" s="5">
        <f t="shared" si="38"/>
        <v>0</v>
      </c>
      <c r="Q331" s="5">
        <f t="shared" si="39"/>
        <v>0</v>
      </c>
      <c r="R331" s="5">
        <f t="shared" si="39"/>
        <v>0.69314718055994529</v>
      </c>
      <c r="S331" s="5">
        <f t="shared" si="40"/>
        <v>1</v>
      </c>
      <c r="T331" s="3">
        <f t="shared" si="41"/>
        <v>1</v>
      </c>
      <c r="U331" s="3" t="s">
        <v>102</v>
      </c>
      <c r="V331" s="3">
        <v>1</v>
      </c>
      <c r="W331" s="6">
        <v>6.2</v>
      </c>
      <c r="X331" s="4">
        <v>9</v>
      </c>
      <c r="Y331" s="5">
        <v>0.3</v>
      </c>
      <c r="Z331" s="5">
        <v>1.1000000000000001</v>
      </c>
      <c r="AA331" s="3" t="s">
        <v>80</v>
      </c>
      <c r="AB331" s="3">
        <v>0</v>
      </c>
      <c r="AC331" s="3" t="s">
        <v>113</v>
      </c>
      <c r="AD331" s="3">
        <v>0</v>
      </c>
      <c r="AE331" s="3" t="s">
        <v>98</v>
      </c>
      <c r="AF331" s="3">
        <v>0</v>
      </c>
      <c r="AG331" s="3" t="s">
        <v>98</v>
      </c>
      <c r="AH331" s="3">
        <v>0</v>
      </c>
      <c r="AI331" s="3">
        <v>1</v>
      </c>
      <c r="AJ331" s="3">
        <v>2</v>
      </c>
      <c r="AK331" s="3">
        <v>1</v>
      </c>
      <c r="AL331" s="3">
        <v>1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1</v>
      </c>
      <c r="BG331" s="3">
        <v>1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7" t="s">
        <v>186</v>
      </c>
      <c r="BX331" s="7" t="s">
        <v>947</v>
      </c>
    </row>
    <row r="332" spans="1:76">
      <c r="A332" s="3" t="s">
        <v>948</v>
      </c>
      <c r="B332" s="3">
        <v>3302</v>
      </c>
      <c r="C332" s="3" t="s">
        <v>949</v>
      </c>
      <c r="D332" s="3">
        <v>1</v>
      </c>
      <c r="E332" s="4">
        <v>32</v>
      </c>
      <c r="F332" s="3" t="s">
        <v>87</v>
      </c>
      <c r="G332" s="3">
        <v>0</v>
      </c>
      <c r="H332" s="3">
        <v>1</v>
      </c>
      <c r="I332" s="4">
        <v>65</v>
      </c>
      <c r="J332" s="4">
        <v>11</v>
      </c>
      <c r="K332" s="4">
        <v>76</v>
      </c>
      <c r="L332" s="5">
        <f>IF(F332="F",65.79,IF(F332="M",79.94,""))</f>
        <v>65.790000000000006</v>
      </c>
      <c r="M332" s="3">
        <f t="shared" si="35"/>
        <v>1</v>
      </c>
      <c r="N332" s="3" t="str">
        <f t="shared" si="36"/>
        <v>VSC-halitosis</v>
      </c>
      <c r="O332" s="3" t="str">
        <f t="shared" si="37"/>
        <v>Clinical- / VSC+</v>
      </c>
      <c r="P332" s="5">
        <f t="shared" si="38"/>
        <v>4.3307333402863311</v>
      </c>
      <c r="Q332" s="5">
        <f t="shared" si="39"/>
        <v>4.1896547420264252</v>
      </c>
      <c r="R332" s="5">
        <f t="shared" si="39"/>
        <v>2.4849066497880004</v>
      </c>
      <c r="S332" s="5">
        <f t="shared" si="40"/>
        <v>0.14473684210526316</v>
      </c>
      <c r="T332" s="3">
        <f t="shared" si="41"/>
        <v>0</v>
      </c>
      <c r="U332" s="3" t="s">
        <v>96</v>
      </c>
      <c r="V332" s="3">
        <v>3</v>
      </c>
      <c r="W332" s="6">
        <v>6.2</v>
      </c>
      <c r="X332" s="4">
        <v>12</v>
      </c>
      <c r="Y332" s="5">
        <v>0.3</v>
      </c>
      <c r="Z332" s="5">
        <v>1.4</v>
      </c>
      <c r="AA332" s="3" t="s">
        <v>80</v>
      </c>
      <c r="AB332" s="3">
        <v>0</v>
      </c>
      <c r="AC332" s="3" t="s">
        <v>81</v>
      </c>
      <c r="AD332" s="3">
        <v>0</v>
      </c>
      <c r="AE332" s="3" t="s">
        <v>82</v>
      </c>
      <c r="AF332" s="3">
        <v>1</v>
      </c>
      <c r="AG332" s="3" t="s">
        <v>82</v>
      </c>
      <c r="AH332" s="3">
        <v>1</v>
      </c>
      <c r="AI332" s="3">
        <v>2</v>
      </c>
      <c r="AJ332" s="3">
        <v>1</v>
      </c>
      <c r="AK332" s="3">
        <v>1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1</v>
      </c>
      <c r="AV332" s="3">
        <v>0</v>
      </c>
      <c r="AW332" s="3">
        <v>0</v>
      </c>
      <c r="AX332" s="3">
        <v>0</v>
      </c>
      <c r="AY332" s="3">
        <v>0</v>
      </c>
      <c r="AZ332" s="3">
        <v>1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1</v>
      </c>
      <c r="BT332" s="3">
        <v>0</v>
      </c>
      <c r="BU332" s="3">
        <v>0</v>
      </c>
      <c r="BV332" s="3">
        <v>0</v>
      </c>
      <c r="BW332" s="7" t="s">
        <v>950</v>
      </c>
      <c r="BX332" s="7" t="s">
        <v>951</v>
      </c>
    </row>
    <row r="333" spans="1:76">
      <c r="A333" s="3" t="s">
        <v>952</v>
      </c>
      <c r="B333" s="3">
        <v>4873</v>
      </c>
      <c r="C333" s="3" t="s">
        <v>953</v>
      </c>
      <c r="D333" s="3">
        <v>2</v>
      </c>
      <c r="E333" s="4">
        <v>52</v>
      </c>
      <c r="F333" s="3" t="s">
        <v>87</v>
      </c>
      <c r="G333" s="3">
        <v>0</v>
      </c>
      <c r="H333" s="3">
        <v>0</v>
      </c>
      <c r="I333" s="4">
        <v>0</v>
      </c>
      <c r="J333" s="4">
        <v>1</v>
      </c>
      <c r="K333" s="4">
        <v>1</v>
      </c>
      <c r="L333" s="5">
        <f>IF(F333="F",65.79,IF(F333="M",79.94,""))</f>
        <v>65.790000000000006</v>
      </c>
      <c r="M333" s="3">
        <f t="shared" si="35"/>
        <v>0</v>
      </c>
      <c r="N333" s="3" t="str">
        <f t="shared" si="36"/>
        <v>VSC-non-halitosis</v>
      </c>
      <c r="O333" s="3" t="str">
        <f t="shared" si="37"/>
        <v>Clinical- / VSC-</v>
      </c>
      <c r="P333" s="5">
        <f t="shared" si="38"/>
        <v>0</v>
      </c>
      <c r="Q333" s="5">
        <f t="shared" si="39"/>
        <v>0</v>
      </c>
      <c r="R333" s="5">
        <f t="shared" si="39"/>
        <v>0.69314718055994529</v>
      </c>
      <c r="S333" s="5">
        <f t="shared" si="40"/>
        <v>1</v>
      </c>
      <c r="T333" s="3">
        <f t="shared" si="41"/>
        <v>1</v>
      </c>
      <c r="U333" s="3" t="s">
        <v>102</v>
      </c>
      <c r="V333" s="3">
        <v>1</v>
      </c>
      <c r="W333" s="6">
        <v>7</v>
      </c>
      <c r="X333" s="4">
        <v>12</v>
      </c>
      <c r="Y333" s="5">
        <v>0.75</v>
      </c>
      <c r="Z333" s="5">
        <v>2.5</v>
      </c>
      <c r="AA333" s="3" t="s">
        <v>80</v>
      </c>
      <c r="AB333" s="3">
        <v>0</v>
      </c>
      <c r="AC333" s="3" t="s">
        <v>113</v>
      </c>
      <c r="AD333" s="3">
        <v>0</v>
      </c>
      <c r="AE333" s="3" t="s">
        <v>82</v>
      </c>
      <c r="AF333" s="3">
        <v>1</v>
      </c>
      <c r="AG333" s="3" t="s">
        <v>82</v>
      </c>
      <c r="AH333" s="3">
        <v>1</v>
      </c>
      <c r="AI333" s="3">
        <v>1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1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7" t="s">
        <v>492</v>
      </c>
      <c r="BX333" s="7" t="s">
        <v>80</v>
      </c>
    </row>
    <row r="334" spans="1:76">
      <c r="A334" s="3" t="s">
        <v>954</v>
      </c>
      <c r="B334" s="3">
        <v>5790</v>
      </c>
      <c r="C334" s="3" t="s">
        <v>953</v>
      </c>
      <c r="D334" s="3">
        <v>2</v>
      </c>
      <c r="E334" s="4">
        <v>52</v>
      </c>
      <c r="F334" s="3" t="s">
        <v>87</v>
      </c>
      <c r="G334" s="3">
        <v>0</v>
      </c>
      <c r="H334" s="3">
        <v>0</v>
      </c>
      <c r="I334" s="4">
        <v>0</v>
      </c>
      <c r="J334" s="4">
        <v>1</v>
      </c>
      <c r="K334" s="4">
        <v>1</v>
      </c>
      <c r="L334" s="5">
        <f>IF(F334="F",65.79,IF(F334="M",79.94,""))</f>
        <v>65.790000000000006</v>
      </c>
      <c r="M334" s="3">
        <f t="shared" si="35"/>
        <v>0</v>
      </c>
      <c r="N334" s="3" t="str">
        <f t="shared" si="36"/>
        <v>VSC-non-halitosis</v>
      </c>
      <c r="O334" s="3" t="str">
        <f t="shared" si="37"/>
        <v>Clinical- / VSC-</v>
      </c>
      <c r="P334" s="5">
        <f t="shared" si="38"/>
        <v>0</v>
      </c>
      <c r="Q334" s="5">
        <f t="shared" si="39"/>
        <v>0</v>
      </c>
      <c r="R334" s="5">
        <f t="shared" si="39"/>
        <v>0.69314718055994529</v>
      </c>
      <c r="S334" s="5">
        <f t="shared" si="40"/>
        <v>1</v>
      </c>
      <c r="T334" s="3">
        <f t="shared" si="41"/>
        <v>1</v>
      </c>
      <c r="U334" s="3" t="s">
        <v>102</v>
      </c>
      <c r="V334" s="3">
        <v>1</v>
      </c>
      <c r="W334" s="6">
        <v>7</v>
      </c>
      <c r="X334" s="4">
        <v>12</v>
      </c>
      <c r="Y334" s="5">
        <v>0.75</v>
      </c>
      <c r="Z334" s="5">
        <v>2.5</v>
      </c>
      <c r="AA334" s="3" t="s">
        <v>80</v>
      </c>
      <c r="AB334" s="3">
        <v>0</v>
      </c>
      <c r="AC334" s="3" t="s">
        <v>113</v>
      </c>
      <c r="AD334" s="3">
        <v>0</v>
      </c>
      <c r="AE334" s="3" t="s">
        <v>82</v>
      </c>
      <c r="AF334" s="3">
        <v>1</v>
      </c>
      <c r="AG334" s="3" t="s">
        <v>82</v>
      </c>
      <c r="AH334" s="3">
        <v>1</v>
      </c>
      <c r="AI334" s="3">
        <v>1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1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7"/>
      <c r="BX334" s="7" t="s">
        <v>492</v>
      </c>
    </row>
    <row r="335" spans="1:76" ht="34">
      <c r="A335" s="3" t="s">
        <v>955</v>
      </c>
      <c r="B335" s="3">
        <v>6141</v>
      </c>
      <c r="C335" s="3" t="s">
        <v>956</v>
      </c>
      <c r="D335" s="3">
        <v>1</v>
      </c>
      <c r="E335" s="4">
        <v>73</v>
      </c>
      <c r="F335" s="3" t="s">
        <v>87</v>
      </c>
      <c r="G335" s="3">
        <v>0</v>
      </c>
      <c r="H335" s="3">
        <v>0</v>
      </c>
      <c r="I335" s="4">
        <v>8</v>
      </c>
      <c r="J335" s="4">
        <v>0</v>
      </c>
      <c r="K335" s="4">
        <v>8</v>
      </c>
      <c r="L335" s="5">
        <f>IF(F335="F",65.79,IF(F335="M",79.94,""))</f>
        <v>65.790000000000006</v>
      </c>
      <c r="M335" s="3">
        <f t="shared" si="35"/>
        <v>0</v>
      </c>
      <c r="N335" s="3" t="str">
        <f t="shared" si="36"/>
        <v>VSC-non-halitosis</v>
      </c>
      <c r="O335" s="3" t="str">
        <f t="shared" si="37"/>
        <v>Clinical- / VSC-</v>
      </c>
      <c r="P335" s="5">
        <f t="shared" si="38"/>
        <v>2.0794415416798357</v>
      </c>
      <c r="Q335" s="5">
        <f t="shared" si="39"/>
        <v>2.1972245773362196</v>
      </c>
      <c r="R335" s="5">
        <f t="shared" si="39"/>
        <v>0</v>
      </c>
      <c r="S335" s="5">
        <f t="shared" si="40"/>
        <v>0</v>
      </c>
      <c r="T335" s="3">
        <f t="shared" si="41"/>
        <v>0</v>
      </c>
      <c r="U335" s="3" t="s">
        <v>79</v>
      </c>
      <c r="V335" s="3">
        <v>2</v>
      </c>
      <c r="W335" s="6">
        <v>6.6</v>
      </c>
      <c r="X335" s="4">
        <v>10</v>
      </c>
      <c r="Y335" s="5">
        <v>0.4</v>
      </c>
      <c r="Z335" s="5">
        <v>1.5</v>
      </c>
      <c r="AA335" s="3" t="s">
        <v>80</v>
      </c>
      <c r="AB335" s="3">
        <v>0</v>
      </c>
      <c r="AC335" s="3" t="s">
        <v>113</v>
      </c>
      <c r="AD335" s="3">
        <v>0</v>
      </c>
      <c r="AE335" s="3" t="s">
        <v>82</v>
      </c>
      <c r="AF335" s="3">
        <v>1</v>
      </c>
      <c r="AG335" s="3" t="s">
        <v>82</v>
      </c>
      <c r="AH335" s="3">
        <v>1</v>
      </c>
      <c r="AI335" s="3">
        <v>1</v>
      </c>
      <c r="AJ335" s="3">
        <v>0</v>
      </c>
      <c r="AK335" s="3">
        <v>0</v>
      </c>
      <c r="AL335" s="3">
        <v>1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7" t="s">
        <v>186</v>
      </c>
      <c r="BX335" s="7" t="s">
        <v>957</v>
      </c>
    </row>
    <row r="336" spans="1:76">
      <c r="A336" s="3" t="s">
        <v>958</v>
      </c>
      <c r="B336" s="3">
        <v>3342</v>
      </c>
      <c r="C336" s="3" t="s">
        <v>959</v>
      </c>
      <c r="D336" s="3">
        <v>4</v>
      </c>
      <c r="E336" s="4">
        <v>64</v>
      </c>
      <c r="F336" s="3" t="s">
        <v>87</v>
      </c>
      <c r="G336" s="3">
        <v>1</v>
      </c>
      <c r="H336" s="3">
        <v>0</v>
      </c>
      <c r="I336" s="4">
        <v>61</v>
      </c>
      <c r="J336" s="4">
        <v>3</v>
      </c>
      <c r="K336" s="4">
        <v>64</v>
      </c>
      <c r="L336" s="5">
        <f>IF(F336="F",65.79,IF(F336="M",79.94,""))</f>
        <v>65.790000000000006</v>
      </c>
      <c r="M336" s="3">
        <f t="shared" si="35"/>
        <v>0</v>
      </c>
      <c r="N336" s="3" t="str">
        <f t="shared" si="36"/>
        <v>VSC-non-halitosis</v>
      </c>
      <c r="O336" s="3" t="str">
        <f t="shared" si="37"/>
        <v>Clinical+ / VSC-</v>
      </c>
      <c r="P336" s="5">
        <f t="shared" si="38"/>
        <v>4.1588830833596715</v>
      </c>
      <c r="Q336" s="5">
        <f t="shared" si="39"/>
        <v>4.1271343850450917</v>
      </c>
      <c r="R336" s="5">
        <f t="shared" si="39"/>
        <v>1.3862943611198906</v>
      </c>
      <c r="S336" s="5">
        <f t="shared" si="40"/>
        <v>4.6875E-2</v>
      </c>
      <c r="T336" s="3">
        <f t="shared" si="41"/>
        <v>0</v>
      </c>
      <c r="U336" s="3" t="s">
        <v>96</v>
      </c>
      <c r="V336" s="3">
        <v>3</v>
      </c>
      <c r="W336" s="6">
        <v>6.2</v>
      </c>
      <c r="X336" s="4">
        <v>9</v>
      </c>
      <c r="Y336" s="5">
        <v>0.5</v>
      </c>
      <c r="Z336" s="5">
        <v>1</v>
      </c>
      <c r="AA336" s="3" t="s">
        <v>80</v>
      </c>
      <c r="AB336" s="3">
        <v>0</v>
      </c>
      <c r="AC336" s="3" t="s">
        <v>81</v>
      </c>
      <c r="AD336" s="3">
        <v>0</v>
      </c>
      <c r="AE336" s="3" t="s">
        <v>82</v>
      </c>
      <c r="AF336" s="3">
        <v>1</v>
      </c>
      <c r="AG336" s="3" t="s">
        <v>82</v>
      </c>
      <c r="AH336" s="3">
        <v>1</v>
      </c>
      <c r="AI336" s="3">
        <v>1</v>
      </c>
      <c r="AJ336" s="3">
        <v>0</v>
      </c>
      <c r="AK336" s="3">
        <v>0</v>
      </c>
      <c r="AL336" s="3">
        <v>1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7" t="s">
        <v>186</v>
      </c>
      <c r="BX336" s="7"/>
    </row>
    <row r="337" spans="1:76">
      <c r="A337" s="3" t="s">
        <v>960</v>
      </c>
      <c r="B337" s="3">
        <v>3342</v>
      </c>
      <c r="C337" s="3" t="s">
        <v>959</v>
      </c>
      <c r="D337" s="3">
        <v>4</v>
      </c>
      <c r="E337" s="4">
        <v>64</v>
      </c>
      <c r="F337" s="3" t="s">
        <v>87</v>
      </c>
      <c r="G337" s="3">
        <v>1</v>
      </c>
      <c r="H337" s="3">
        <v>0</v>
      </c>
      <c r="I337" s="4">
        <v>94</v>
      </c>
      <c r="J337" s="4">
        <v>99</v>
      </c>
      <c r="K337" s="4">
        <v>193</v>
      </c>
      <c r="L337" s="5">
        <f>IF(F337="F",65.79,IF(F337="M",79.94,""))</f>
        <v>65.790000000000006</v>
      </c>
      <c r="M337" s="3">
        <f t="shared" si="35"/>
        <v>1</v>
      </c>
      <c r="N337" s="3" t="str">
        <f t="shared" si="36"/>
        <v>VSC-halitosis</v>
      </c>
      <c r="O337" s="3" t="str">
        <f t="shared" si="37"/>
        <v>Clinical+ / VSC+</v>
      </c>
      <c r="P337" s="5">
        <f t="shared" si="38"/>
        <v>5.2626901889048856</v>
      </c>
      <c r="Q337" s="5">
        <f t="shared" si="39"/>
        <v>4.5538768916005408</v>
      </c>
      <c r="R337" s="5">
        <f t="shared" si="39"/>
        <v>4.6051701859880918</v>
      </c>
      <c r="S337" s="5">
        <f t="shared" si="40"/>
        <v>0.51295336787564771</v>
      </c>
      <c r="T337" s="3">
        <f t="shared" si="41"/>
        <v>1</v>
      </c>
      <c r="U337" s="3" t="s">
        <v>96</v>
      </c>
      <c r="V337" s="3">
        <v>3</v>
      </c>
      <c r="W337" s="6">
        <v>6.2</v>
      </c>
      <c r="X337" s="4">
        <v>9</v>
      </c>
      <c r="Y337" s="5">
        <v>0.5</v>
      </c>
      <c r="Z337" s="5">
        <v>1</v>
      </c>
      <c r="AA337" s="3" t="s">
        <v>80</v>
      </c>
      <c r="AB337" s="3">
        <v>0</v>
      </c>
      <c r="AC337" s="3" t="s">
        <v>81</v>
      </c>
      <c r="AD337" s="3">
        <v>0</v>
      </c>
      <c r="AE337" s="3" t="s">
        <v>82</v>
      </c>
      <c r="AF337" s="3">
        <v>1</v>
      </c>
      <c r="AG337" s="3" t="s">
        <v>82</v>
      </c>
      <c r="AH337" s="3">
        <v>1</v>
      </c>
      <c r="AI337" s="3">
        <v>1</v>
      </c>
      <c r="AJ337" s="3">
        <v>0</v>
      </c>
      <c r="AK337" s="3">
        <v>0</v>
      </c>
      <c r="AL337" s="3">
        <v>1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7" t="s">
        <v>186</v>
      </c>
      <c r="BX337" s="7"/>
    </row>
    <row r="338" spans="1:76">
      <c r="A338" s="3" t="s">
        <v>961</v>
      </c>
      <c r="B338" s="3">
        <v>3342</v>
      </c>
      <c r="C338" s="3" t="s">
        <v>959</v>
      </c>
      <c r="D338" s="3">
        <v>4</v>
      </c>
      <c r="E338" s="4">
        <v>64</v>
      </c>
      <c r="F338" s="3" t="s">
        <v>87</v>
      </c>
      <c r="G338" s="3">
        <v>1</v>
      </c>
      <c r="H338" s="3">
        <v>0</v>
      </c>
      <c r="I338" s="4">
        <v>0</v>
      </c>
      <c r="J338" s="4">
        <v>48</v>
      </c>
      <c r="K338" s="4">
        <v>48</v>
      </c>
      <c r="L338" s="5">
        <f>IF(F338="F",65.79,IF(F338="M",79.94,""))</f>
        <v>65.790000000000006</v>
      </c>
      <c r="M338" s="3">
        <f t="shared" si="35"/>
        <v>0</v>
      </c>
      <c r="N338" s="3" t="str">
        <f t="shared" si="36"/>
        <v>VSC-non-halitosis</v>
      </c>
      <c r="O338" s="3" t="str">
        <f t="shared" si="37"/>
        <v>Clinical+ / VSC-</v>
      </c>
      <c r="P338" s="5">
        <f t="shared" si="38"/>
        <v>3.8712010109078911</v>
      </c>
      <c r="Q338" s="5">
        <f t="shared" si="39"/>
        <v>0</v>
      </c>
      <c r="R338" s="5">
        <f t="shared" si="39"/>
        <v>3.8918202981106265</v>
      </c>
      <c r="S338" s="5">
        <f t="shared" si="40"/>
        <v>1</v>
      </c>
      <c r="T338" s="3">
        <f t="shared" si="41"/>
        <v>1</v>
      </c>
      <c r="U338" s="3" t="s">
        <v>96</v>
      </c>
      <c r="V338" s="3">
        <v>3</v>
      </c>
      <c r="W338" s="6">
        <v>6.2</v>
      </c>
      <c r="X338" s="4">
        <v>9</v>
      </c>
      <c r="Y338" s="5">
        <v>0.5</v>
      </c>
      <c r="Z338" s="5">
        <v>1</v>
      </c>
      <c r="AA338" s="3" t="s">
        <v>80</v>
      </c>
      <c r="AB338" s="3">
        <v>0</v>
      </c>
      <c r="AC338" s="3" t="s">
        <v>81</v>
      </c>
      <c r="AD338" s="3">
        <v>0</v>
      </c>
      <c r="AE338" s="3" t="s">
        <v>82</v>
      </c>
      <c r="AF338" s="3">
        <v>1</v>
      </c>
      <c r="AG338" s="3" t="s">
        <v>82</v>
      </c>
      <c r="AH338" s="3">
        <v>1</v>
      </c>
      <c r="AI338" s="3">
        <v>1</v>
      </c>
      <c r="AJ338" s="3">
        <v>0</v>
      </c>
      <c r="AK338" s="3">
        <v>0</v>
      </c>
      <c r="AL338" s="3">
        <v>1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7" t="s">
        <v>186</v>
      </c>
      <c r="BX338" s="7"/>
    </row>
    <row r="339" spans="1:76">
      <c r="A339" s="3" t="s">
        <v>962</v>
      </c>
      <c r="B339" s="3">
        <v>3342</v>
      </c>
      <c r="C339" s="3" t="s">
        <v>959</v>
      </c>
      <c r="D339" s="3">
        <v>4</v>
      </c>
      <c r="E339" s="4">
        <v>64</v>
      </c>
      <c r="F339" s="3" t="s">
        <v>87</v>
      </c>
      <c r="G339" s="3">
        <v>1</v>
      </c>
      <c r="H339" s="3">
        <v>0</v>
      </c>
      <c r="I339" s="4">
        <v>13</v>
      </c>
      <c r="J339" s="4">
        <v>36</v>
      </c>
      <c r="K339" s="4">
        <v>49</v>
      </c>
      <c r="L339" s="5">
        <f>IF(F339="F",65.79,IF(F339="M",79.94,""))</f>
        <v>65.790000000000006</v>
      </c>
      <c r="M339" s="3">
        <f t="shared" si="35"/>
        <v>0</v>
      </c>
      <c r="N339" s="3" t="str">
        <f t="shared" si="36"/>
        <v>VSC-non-halitosis</v>
      </c>
      <c r="O339" s="3" t="str">
        <f t="shared" si="37"/>
        <v>Clinical+ / VSC-</v>
      </c>
      <c r="P339" s="5">
        <f t="shared" si="38"/>
        <v>3.8918202981106265</v>
      </c>
      <c r="Q339" s="5">
        <f t="shared" si="39"/>
        <v>2.6390573296152584</v>
      </c>
      <c r="R339" s="5">
        <f t="shared" si="39"/>
        <v>3.6109179126442243</v>
      </c>
      <c r="S339" s="5">
        <f t="shared" si="40"/>
        <v>0.73469387755102045</v>
      </c>
      <c r="T339" s="3">
        <f t="shared" si="41"/>
        <v>1</v>
      </c>
      <c r="U339" s="3" t="s">
        <v>96</v>
      </c>
      <c r="V339" s="3">
        <v>3</v>
      </c>
      <c r="W339" s="6">
        <v>6.2</v>
      </c>
      <c r="X339" s="4">
        <v>9</v>
      </c>
      <c r="Y339" s="5">
        <v>0.5</v>
      </c>
      <c r="Z339" s="5">
        <v>1</v>
      </c>
      <c r="AA339" s="3" t="s">
        <v>80</v>
      </c>
      <c r="AB339" s="3">
        <v>0</v>
      </c>
      <c r="AC339" s="3" t="s">
        <v>81</v>
      </c>
      <c r="AD339" s="3">
        <v>0</v>
      </c>
      <c r="AE339" s="3" t="s">
        <v>82</v>
      </c>
      <c r="AF339" s="3">
        <v>1</v>
      </c>
      <c r="AG339" s="3" t="s">
        <v>82</v>
      </c>
      <c r="AH339" s="3">
        <v>1</v>
      </c>
      <c r="AI339" s="3">
        <v>1</v>
      </c>
      <c r="AJ339" s="3">
        <v>0</v>
      </c>
      <c r="AK339" s="3">
        <v>0</v>
      </c>
      <c r="AL339" s="3">
        <v>1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7" t="s">
        <v>186</v>
      </c>
      <c r="BX339" s="7"/>
    </row>
    <row r="340" spans="1:76" ht="34">
      <c r="A340" s="3" t="s">
        <v>963</v>
      </c>
      <c r="B340" s="3">
        <v>3345</v>
      </c>
      <c r="C340" s="3" t="s">
        <v>964</v>
      </c>
      <c r="D340" s="3">
        <v>1</v>
      </c>
      <c r="E340" s="4">
        <v>62</v>
      </c>
      <c r="F340" s="3" t="s">
        <v>78</v>
      </c>
      <c r="G340" s="3">
        <v>0</v>
      </c>
      <c r="H340" s="3">
        <v>0</v>
      </c>
      <c r="I340" s="4">
        <v>1</v>
      </c>
      <c r="J340" s="4">
        <v>0</v>
      </c>
      <c r="K340" s="4">
        <v>1</v>
      </c>
      <c r="L340" s="5">
        <f>IF(F340="F",65.79,IF(F340="M",79.94,""))</f>
        <v>79.94</v>
      </c>
      <c r="M340" s="3">
        <f t="shared" si="35"/>
        <v>0</v>
      </c>
      <c r="N340" s="3" t="str">
        <f t="shared" si="36"/>
        <v>VSC-non-halitosis</v>
      </c>
      <c r="O340" s="3" t="str">
        <f t="shared" si="37"/>
        <v>Clinical- / VSC-</v>
      </c>
      <c r="P340" s="5">
        <f t="shared" si="38"/>
        <v>0</v>
      </c>
      <c r="Q340" s="5">
        <f t="shared" si="39"/>
        <v>0.69314718055994529</v>
      </c>
      <c r="R340" s="5">
        <f t="shared" si="39"/>
        <v>0</v>
      </c>
      <c r="S340" s="5">
        <f t="shared" si="40"/>
        <v>0</v>
      </c>
      <c r="T340" s="3">
        <f t="shared" si="41"/>
        <v>0</v>
      </c>
      <c r="U340" s="3" t="s">
        <v>102</v>
      </c>
      <c r="V340" s="3">
        <v>1</v>
      </c>
      <c r="W340" s="6">
        <v>6.6</v>
      </c>
      <c r="X340" s="4">
        <v>11</v>
      </c>
      <c r="Y340" s="5">
        <v>0.6</v>
      </c>
      <c r="Z340" s="5">
        <v>0.7</v>
      </c>
      <c r="AA340" s="3" t="s">
        <v>80</v>
      </c>
      <c r="AB340" s="3">
        <v>0</v>
      </c>
      <c r="AC340" s="3" t="s">
        <v>81</v>
      </c>
      <c r="AD340" s="3">
        <v>0</v>
      </c>
      <c r="AE340" s="3" t="s">
        <v>82</v>
      </c>
      <c r="AF340" s="3">
        <v>1</v>
      </c>
      <c r="AG340" s="3" t="s">
        <v>98</v>
      </c>
      <c r="AH340" s="3">
        <v>0</v>
      </c>
      <c r="AI340" s="3">
        <v>1</v>
      </c>
      <c r="AJ340" s="3">
        <v>1</v>
      </c>
      <c r="AK340" s="3">
        <v>1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1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1</v>
      </c>
      <c r="BS340" s="3">
        <v>0</v>
      </c>
      <c r="BT340" s="3">
        <v>0</v>
      </c>
      <c r="BU340" s="3">
        <v>0</v>
      </c>
      <c r="BV340" s="3">
        <v>0</v>
      </c>
      <c r="BW340" s="7" t="s">
        <v>965</v>
      </c>
      <c r="BX340" s="7" t="s">
        <v>119</v>
      </c>
    </row>
    <row r="341" spans="1:76">
      <c r="A341" s="3" t="s">
        <v>966</v>
      </c>
      <c r="B341" s="3">
        <v>3357</v>
      </c>
      <c r="C341" s="3" t="s">
        <v>967</v>
      </c>
      <c r="D341" s="3">
        <v>1</v>
      </c>
      <c r="E341" s="4">
        <v>59</v>
      </c>
      <c r="F341" s="3" t="s">
        <v>87</v>
      </c>
      <c r="G341" s="3">
        <v>1</v>
      </c>
      <c r="H341" s="3">
        <v>0</v>
      </c>
      <c r="I341" s="4">
        <v>3</v>
      </c>
      <c r="J341" s="4">
        <v>0</v>
      </c>
      <c r="K341" s="4">
        <v>3</v>
      </c>
      <c r="L341" s="5">
        <f>IF(F341="F",65.79,IF(F341="M",79.94,""))</f>
        <v>65.790000000000006</v>
      </c>
      <c r="M341" s="3">
        <f t="shared" si="35"/>
        <v>0</v>
      </c>
      <c r="N341" s="3" t="str">
        <f t="shared" si="36"/>
        <v>VSC-non-halitosis</v>
      </c>
      <c r="O341" s="3" t="str">
        <f t="shared" si="37"/>
        <v>Clinical+ / VSC-</v>
      </c>
      <c r="P341" s="5">
        <f t="shared" si="38"/>
        <v>1.0986122886681098</v>
      </c>
      <c r="Q341" s="5">
        <f t="shared" si="39"/>
        <v>1.3862943611198906</v>
      </c>
      <c r="R341" s="5">
        <f t="shared" si="39"/>
        <v>0</v>
      </c>
      <c r="S341" s="5">
        <f t="shared" si="40"/>
        <v>0</v>
      </c>
      <c r="T341" s="3">
        <f t="shared" si="41"/>
        <v>0</v>
      </c>
      <c r="U341" s="3" t="s">
        <v>102</v>
      </c>
      <c r="V341" s="3">
        <v>1</v>
      </c>
      <c r="W341" s="6">
        <v>6.6</v>
      </c>
      <c r="X341" s="4">
        <v>12</v>
      </c>
      <c r="Y341" s="5">
        <v>0.1</v>
      </c>
      <c r="Z341" s="5">
        <v>0.86</v>
      </c>
      <c r="AA341" s="3" t="s">
        <v>80</v>
      </c>
      <c r="AB341" s="3">
        <v>0</v>
      </c>
      <c r="AC341" s="3" t="s">
        <v>81</v>
      </c>
      <c r="AD341" s="3">
        <v>0</v>
      </c>
      <c r="AE341" s="3" t="s">
        <v>98</v>
      </c>
      <c r="AF341" s="3">
        <v>0</v>
      </c>
      <c r="AG341" s="3" t="s">
        <v>98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7" t="s">
        <v>119</v>
      </c>
      <c r="BX341" s="7" t="s">
        <v>119</v>
      </c>
    </row>
    <row r="342" spans="1:76">
      <c r="A342" s="3" t="s">
        <v>968</v>
      </c>
      <c r="B342" s="3">
        <v>3366</v>
      </c>
      <c r="C342" s="3" t="s">
        <v>969</v>
      </c>
      <c r="D342" s="3">
        <v>1</v>
      </c>
      <c r="E342" s="4">
        <v>50</v>
      </c>
      <c r="F342" s="3" t="s">
        <v>87</v>
      </c>
      <c r="G342" s="3">
        <v>0</v>
      </c>
      <c r="H342" s="3">
        <v>0</v>
      </c>
      <c r="I342" s="4">
        <v>405</v>
      </c>
      <c r="J342" s="4">
        <v>95</v>
      </c>
      <c r="K342" s="4">
        <v>500</v>
      </c>
      <c r="L342" s="5">
        <f>IF(F342="F",65.79,IF(F342="M",79.94,""))</f>
        <v>65.790000000000006</v>
      </c>
      <c r="M342" s="3">
        <f t="shared" si="35"/>
        <v>1</v>
      </c>
      <c r="N342" s="3" t="str">
        <f t="shared" si="36"/>
        <v>VSC-halitosis</v>
      </c>
      <c r="O342" s="3" t="str">
        <f t="shared" si="37"/>
        <v>Clinical- / VSC+</v>
      </c>
      <c r="P342" s="5">
        <f t="shared" si="38"/>
        <v>6.2146080984221914</v>
      </c>
      <c r="Q342" s="5">
        <f t="shared" si="39"/>
        <v>6.0063531596017325</v>
      </c>
      <c r="R342" s="5">
        <f t="shared" si="39"/>
        <v>4.5643481914678361</v>
      </c>
      <c r="S342" s="5">
        <f t="shared" si="40"/>
        <v>0.19</v>
      </c>
      <c r="T342" s="3">
        <f t="shared" si="41"/>
        <v>0</v>
      </c>
      <c r="U342" s="3" t="s">
        <v>96</v>
      </c>
      <c r="V342" s="3">
        <v>3</v>
      </c>
      <c r="W342" s="6">
        <v>6.2</v>
      </c>
      <c r="X342" s="4">
        <v>12</v>
      </c>
      <c r="Y342" s="5">
        <v>0.3</v>
      </c>
      <c r="Z342" s="5">
        <v>2</v>
      </c>
      <c r="AA342" s="3" t="s">
        <v>80</v>
      </c>
      <c r="AB342" s="3">
        <v>0</v>
      </c>
      <c r="AC342" s="3" t="s">
        <v>81</v>
      </c>
      <c r="AD342" s="3">
        <v>0</v>
      </c>
      <c r="AE342" s="3" t="s">
        <v>82</v>
      </c>
      <c r="AF342" s="3">
        <v>1</v>
      </c>
      <c r="AG342" s="3" t="s">
        <v>98</v>
      </c>
      <c r="AH342" s="3">
        <v>0</v>
      </c>
      <c r="AI342" s="3">
        <v>3</v>
      </c>
      <c r="AJ342" s="3">
        <v>1</v>
      </c>
      <c r="AK342" s="3">
        <v>0</v>
      </c>
      <c r="AL342" s="3">
        <v>1</v>
      </c>
      <c r="AM342" s="3">
        <v>1</v>
      </c>
      <c r="AN342" s="3">
        <v>1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1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7" t="s">
        <v>134</v>
      </c>
      <c r="BX342" s="7" t="s">
        <v>337</v>
      </c>
    </row>
    <row r="343" spans="1:76">
      <c r="A343" s="3" t="s">
        <v>970</v>
      </c>
      <c r="B343" s="3">
        <v>3445</v>
      </c>
      <c r="C343" s="3" t="s">
        <v>971</v>
      </c>
      <c r="D343" s="3">
        <v>1</v>
      </c>
      <c r="E343" s="4">
        <v>42</v>
      </c>
      <c r="F343" s="3" t="s">
        <v>87</v>
      </c>
      <c r="G343" s="3">
        <v>0</v>
      </c>
      <c r="H343" s="3">
        <v>0</v>
      </c>
      <c r="I343" s="4">
        <v>81</v>
      </c>
      <c r="J343" s="4">
        <v>10</v>
      </c>
      <c r="K343" s="4">
        <v>91</v>
      </c>
      <c r="L343" s="5">
        <f>IF(F343="F",65.79,IF(F343="M",79.94,""))</f>
        <v>65.790000000000006</v>
      </c>
      <c r="M343" s="3">
        <f t="shared" si="35"/>
        <v>1</v>
      </c>
      <c r="N343" s="3" t="str">
        <f t="shared" si="36"/>
        <v>VSC-halitosis</v>
      </c>
      <c r="O343" s="3" t="str">
        <f t="shared" si="37"/>
        <v>Clinical- / VSC+</v>
      </c>
      <c r="P343" s="5">
        <f t="shared" si="38"/>
        <v>4.5108595065168497</v>
      </c>
      <c r="Q343" s="5">
        <f t="shared" si="39"/>
        <v>4.4067192472642533</v>
      </c>
      <c r="R343" s="5">
        <f t="shared" si="39"/>
        <v>2.3978952727983707</v>
      </c>
      <c r="S343" s="5">
        <f t="shared" si="40"/>
        <v>0.10989010989010989</v>
      </c>
      <c r="T343" s="3">
        <f t="shared" si="41"/>
        <v>0</v>
      </c>
      <c r="U343" s="3" t="s">
        <v>96</v>
      </c>
      <c r="V343" s="3">
        <v>3</v>
      </c>
      <c r="W343" s="6">
        <v>7.5</v>
      </c>
      <c r="X343" s="4">
        <v>8</v>
      </c>
      <c r="Y343" s="5">
        <v>0.85</v>
      </c>
      <c r="Z343" s="5">
        <v>1.4</v>
      </c>
      <c r="AA343" s="3" t="s">
        <v>80</v>
      </c>
      <c r="AB343" s="3">
        <v>0</v>
      </c>
      <c r="AC343" s="3" t="s">
        <v>81</v>
      </c>
      <c r="AD343" s="3">
        <v>0</v>
      </c>
      <c r="AE343" s="3" t="s">
        <v>82</v>
      </c>
      <c r="AF343" s="3">
        <v>1</v>
      </c>
      <c r="AG343" s="3" t="s">
        <v>98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7" t="s">
        <v>972</v>
      </c>
      <c r="BX343" s="7" t="s">
        <v>119</v>
      </c>
    </row>
    <row r="344" spans="1:76">
      <c r="A344" s="3" t="s">
        <v>973</v>
      </c>
      <c r="B344" s="3">
        <v>3460</v>
      </c>
      <c r="C344" s="3" t="s">
        <v>974</v>
      </c>
      <c r="D344" s="3">
        <v>1</v>
      </c>
      <c r="E344" s="4">
        <v>42</v>
      </c>
      <c r="F344" s="3" t="s">
        <v>87</v>
      </c>
      <c r="G344" s="3">
        <v>0</v>
      </c>
      <c r="H344" s="3">
        <v>0</v>
      </c>
      <c r="I344" s="4">
        <v>5</v>
      </c>
      <c r="J344" s="4">
        <v>51</v>
      </c>
      <c r="K344" s="4">
        <v>56</v>
      </c>
      <c r="L344" s="5">
        <f>IF(F344="F",65.79,IF(F344="M",79.94,""))</f>
        <v>65.790000000000006</v>
      </c>
      <c r="M344" s="3">
        <f t="shared" si="35"/>
        <v>0</v>
      </c>
      <c r="N344" s="3" t="str">
        <f t="shared" si="36"/>
        <v>VSC-non-halitosis</v>
      </c>
      <c r="O344" s="3" t="str">
        <f t="shared" si="37"/>
        <v>Clinical- / VSC-</v>
      </c>
      <c r="P344" s="5">
        <f t="shared" si="38"/>
        <v>4.0253516907351496</v>
      </c>
      <c r="Q344" s="5">
        <f t="shared" si="39"/>
        <v>1.791759469228055</v>
      </c>
      <c r="R344" s="5">
        <f t="shared" si="39"/>
        <v>3.9512437185814275</v>
      </c>
      <c r="S344" s="5">
        <f t="shared" si="40"/>
        <v>0.9107142857142857</v>
      </c>
      <c r="T344" s="3">
        <f t="shared" si="41"/>
        <v>1</v>
      </c>
      <c r="U344" s="3" t="s">
        <v>96</v>
      </c>
      <c r="V344" s="3">
        <v>3</v>
      </c>
      <c r="W344" s="6">
        <v>6.2</v>
      </c>
      <c r="X344" s="4">
        <v>7</v>
      </c>
      <c r="Y344" s="5">
        <v>0.35</v>
      </c>
      <c r="Z344" s="5">
        <v>0.8</v>
      </c>
      <c r="AA344" s="3" t="s">
        <v>80</v>
      </c>
      <c r="AB344" s="3">
        <v>0</v>
      </c>
      <c r="AC344" s="3" t="s">
        <v>113</v>
      </c>
      <c r="AD344" s="3">
        <v>0</v>
      </c>
      <c r="AE344" s="3" t="s">
        <v>98</v>
      </c>
      <c r="AF344" s="3">
        <v>0</v>
      </c>
      <c r="AG344" s="3" t="s">
        <v>98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7" t="s">
        <v>119</v>
      </c>
      <c r="BX344" s="7" t="s">
        <v>119</v>
      </c>
    </row>
    <row r="345" spans="1:76">
      <c r="A345" s="3" t="s">
        <v>975</v>
      </c>
      <c r="B345" s="3">
        <v>3502</v>
      </c>
      <c r="C345" s="3" t="s">
        <v>976</v>
      </c>
      <c r="D345" s="3">
        <v>1</v>
      </c>
      <c r="E345" s="4">
        <v>37</v>
      </c>
      <c r="F345" s="3" t="s">
        <v>87</v>
      </c>
      <c r="G345" s="3">
        <v>0</v>
      </c>
      <c r="H345" s="3">
        <v>0</v>
      </c>
      <c r="I345" s="4">
        <v>1</v>
      </c>
      <c r="J345" s="4">
        <v>0</v>
      </c>
      <c r="K345" s="4">
        <v>1</v>
      </c>
      <c r="L345" s="5">
        <f>IF(F345="F",65.79,IF(F345="M",79.94,""))</f>
        <v>65.790000000000006</v>
      </c>
      <c r="M345" s="3">
        <f t="shared" si="35"/>
        <v>0</v>
      </c>
      <c r="N345" s="3" t="str">
        <f t="shared" si="36"/>
        <v>VSC-non-halitosis</v>
      </c>
      <c r="O345" s="3" t="str">
        <f t="shared" si="37"/>
        <v>Clinical- / VSC-</v>
      </c>
      <c r="P345" s="5">
        <f t="shared" si="38"/>
        <v>0</v>
      </c>
      <c r="Q345" s="5">
        <f t="shared" si="39"/>
        <v>0.69314718055994529</v>
      </c>
      <c r="R345" s="5">
        <f t="shared" si="39"/>
        <v>0</v>
      </c>
      <c r="S345" s="5">
        <f t="shared" si="40"/>
        <v>0</v>
      </c>
      <c r="T345" s="3">
        <f t="shared" si="41"/>
        <v>0</v>
      </c>
      <c r="U345" s="3" t="s">
        <v>102</v>
      </c>
      <c r="V345" s="3">
        <v>1</v>
      </c>
      <c r="W345" s="6">
        <v>7.6</v>
      </c>
      <c r="X345" s="4">
        <v>9</v>
      </c>
      <c r="Y345" s="5">
        <v>0.4</v>
      </c>
      <c r="Z345" s="5">
        <v>1</v>
      </c>
      <c r="AA345" s="3" t="s">
        <v>80</v>
      </c>
      <c r="AB345" s="3">
        <v>0</v>
      </c>
      <c r="AC345" s="3" t="s">
        <v>81</v>
      </c>
      <c r="AD345" s="3">
        <v>0</v>
      </c>
      <c r="AE345" s="3" t="s">
        <v>82</v>
      </c>
      <c r="AF345" s="3">
        <v>1</v>
      </c>
      <c r="AG345" s="3" t="s">
        <v>103</v>
      </c>
      <c r="AH345" s="3">
        <v>1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7" t="s">
        <v>119</v>
      </c>
      <c r="BX345" s="7" t="s">
        <v>119</v>
      </c>
    </row>
    <row r="346" spans="1:76">
      <c r="A346" s="3" t="s">
        <v>977</v>
      </c>
      <c r="B346" s="3">
        <v>3485</v>
      </c>
      <c r="C346" s="3" t="s">
        <v>978</v>
      </c>
      <c r="D346" s="3">
        <v>1</v>
      </c>
      <c r="E346" s="4">
        <v>73</v>
      </c>
      <c r="F346" s="3" t="s">
        <v>78</v>
      </c>
      <c r="G346" s="3">
        <v>0</v>
      </c>
      <c r="H346" s="3">
        <v>0</v>
      </c>
      <c r="I346" s="4">
        <v>547</v>
      </c>
      <c r="J346" s="4">
        <v>220</v>
      </c>
      <c r="K346" s="4">
        <v>767</v>
      </c>
      <c r="L346" s="5">
        <f>IF(F346="F",65.79,IF(F346="M",79.94,""))</f>
        <v>79.94</v>
      </c>
      <c r="M346" s="3">
        <f t="shared" si="35"/>
        <v>1</v>
      </c>
      <c r="N346" s="3" t="str">
        <f t="shared" si="36"/>
        <v>VSC-halitosis</v>
      </c>
      <c r="O346" s="3" t="str">
        <f t="shared" si="37"/>
        <v>Clinical- / VSC+</v>
      </c>
      <c r="P346" s="5">
        <f t="shared" si="38"/>
        <v>6.642486801367256</v>
      </c>
      <c r="Q346" s="5">
        <f t="shared" si="39"/>
        <v>6.3062752869480159</v>
      </c>
      <c r="R346" s="5">
        <f t="shared" si="39"/>
        <v>5.3981627015177525</v>
      </c>
      <c r="S346" s="5">
        <f t="shared" si="40"/>
        <v>0.28683181225554105</v>
      </c>
      <c r="T346" s="3">
        <f t="shared" si="41"/>
        <v>0</v>
      </c>
      <c r="U346" s="3" t="s">
        <v>96</v>
      </c>
      <c r="V346" s="3">
        <v>3</v>
      </c>
      <c r="W346" s="6">
        <v>6.4</v>
      </c>
      <c r="X346" s="4">
        <v>12</v>
      </c>
      <c r="Y346" s="5">
        <v>0.1</v>
      </c>
      <c r="Z346" s="5">
        <v>1.4</v>
      </c>
      <c r="AA346" s="3" t="s">
        <v>80</v>
      </c>
      <c r="AB346" s="3">
        <v>0</v>
      </c>
      <c r="AC346" s="3" t="s">
        <v>81</v>
      </c>
      <c r="AD346" s="3">
        <v>0</v>
      </c>
      <c r="AE346" s="3" t="s">
        <v>98</v>
      </c>
      <c r="AF346" s="3">
        <v>0</v>
      </c>
      <c r="AG346" s="3" t="s">
        <v>82</v>
      </c>
      <c r="AH346" s="3">
        <v>1</v>
      </c>
      <c r="AI346" s="3">
        <v>0</v>
      </c>
      <c r="AJ346" s="3">
        <v>1</v>
      </c>
      <c r="AK346" s="3">
        <v>1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1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7" t="s">
        <v>979</v>
      </c>
      <c r="BX346" s="7" t="s">
        <v>980</v>
      </c>
    </row>
    <row r="347" spans="1:76">
      <c r="A347" s="3" t="s">
        <v>981</v>
      </c>
      <c r="B347" s="3">
        <v>3490</v>
      </c>
      <c r="C347" s="3" t="s">
        <v>982</v>
      </c>
      <c r="D347" s="3">
        <v>1</v>
      </c>
      <c r="E347" s="4">
        <v>33</v>
      </c>
      <c r="F347" s="3" t="s">
        <v>78</v>
      </c>
      <c r="G347" s="3">
        <v>0</v>
      </c>
      <c r="H347" s="3">
        <v>0</v>
      </c>
      <c r="I347" s="4">
        <v>1</v>
      </c>
      <c r="J347" s="4">
        <v>0</v>
      </c>
      <c r="K347" s="4">
        <v>1</v>
      </c>
      <c r="L347" s="5">
        <f>IF(F347="F",65.79,IF(F347="M",79.94,""))</f>
        <v>79.94</v>
      </c>
      <c r="M347" s="3">
        <f t="shared" si="35"/>
        <v>0</v>
      </c>
      <c r="N347" s="3" t="str">
        <f t="shared" si="36"/>
        <v>VSC-non-halitosis</v>
      </c>
      <c r="O347" s="3" t="str">
        <f t="shared" si="37"/>
        <v>Clinical- / VSC-</v>
      </c>
      <c r="P347" s="5">
        <f t="shared" si="38"/>
        <v>0</v>
      </c>
      <c r="Q347" s="5">
        <f t="shared" si="39"/>
        <v>0.69314718055994529</v>
      </c>
      <c r="R347" s="5">
        <f t="shared" si="39"/>
        <v>0</v>
      </c>
      <c r="S347" s="5">
        <f t="shared" si="40"/>
        <v>0</v>
      </c>
      <c r="T347" s="3">
        <f t="shared" si="41"/>
        <v>0</v>
      </c>
      <c r="U347" s="3" t="s">
        <v>102</v>
      </c>
      <c r="V347" s="3">
        <v>1</v>
      </c>
      <c r="W347" s="6">
        <v>7.4</v>
      </c>
      <c r="X347" s="4">
        <v>12</v>
      </c>
      <c r="Y347" s="5">
        <v>1.1000000000000001</v>
      </c>
      <c r="Z347" s="5">
        <v>2.4</v>
      </c>
      <c r="AA347" s="3" t="s">
        <v>80</v>
      </c>
      <c r="AB347" s="3">
        <v>0</v>
      </c>
      <c r="AC347" s="3" t="s">
        <v>81</v>
      </c>
      <c r="AD347" s="3">
        <v>0</v>
      </c>
      <c r="AE347" s="3" t="s">
        <v>103</v>
      </c>
      <c r="AF347" s="3">
        <v>1</v>
      </c>
      <c r="AG347" s="3" t="s">
        <v>82</v>
      </c>
      <c r="AH347" s="3">
        <v>1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7" t="s">
        <v>119</v>
      </c>
      <c r="BX347" s="7" t="s">
        <v>119</v>
      </c>
    </row>
    <row r="348" spans="1:76">
      <c r="A348" s="3" t="s">
        <v>983</v>
      </c>
      <c r="B348" s="3">
        <v>3507</v>
      </c>
      <c r="C348" s="3" t="s">
        <v>984</v>
      </c>
      <c r="D348" s="3">
        <v>1</v>
      </c>
      <c r="E348" s="4">
        <v>65</v>
      </c>
      <c r="F348" s="3" t="s">
        <v>87</v>
      </c>
      <c r="G348" s="3">
        <v>0</v>
      </c>
      <c r="H348" s="3">
        <v>0</v>
      </c>
      <c r="I348" s="4">
        <v>55</v>
      </c>
      <c r="J348" s="4">
        <v>57</v>
      </c>
      <c r="K348" s="4">
        <v>112</v>
      </c>
      <c r="L348" s="5">
        <f>IF(F348="F",65.79,IF(F348="M",79.94,""))</f>
        <v>65.790000000000006</v>
      </c>
      <c r="M348" s="3">
        <f t="shared" si="35"/>
        <v>1</v>
      </c>
      <c r="N348" s="3" t="str">
        <f t="shared" si="36"/>
        <v>VSC-halitosis</v>
      </c>
      <c r="O348" s="3" t="str">
        <f t="shared" si="37"/>
        <v>Clinical- / VSC+</v>
      </c>
      <c r="P348" s="5">
        <f t="shared" si="38"/>
        <v>4.7184988712950942</v>
      </c>
      <c r="Q348" s="5">
        <f t="shared" si="39"/>
        <v>4.0253516907351496</v>
      </c>
      <c r="R348" s="5">
        <f t="shared" si="39"/>
        <v>4.0604430105464191</v>
      </c>
      <c r="S348" s="5">
        <f t="shared" si="40"/>
        <v>0.5089285714285714</v>
      </c>
      <c r="T348" s="3">
        <f t="shared" si="41"/>
        <v>1</v>
      </c>
      <c r="U348" s="3" t="s">
        <v>96</v>
      </c>
      <c r="V348" s="3">
        <v>3</v>
      </c>
      <c r="W348" s="6">
        <v>6.2</v>
      </c>
      <c r="X348" s="4">
        <v>6</v>
      </c>
      <c r="Y348" s="5">
        <v>0.3</v>
      </c>
      <c r="Z348" s="5">
        <v>1.2</v>
      </c>
      <c r="AA348" s="3" t="s">
        <v>80</v>
      </c>
      <c r="AB348" s="3">
        <v>0</v>
      </c>
      <c r="AC348" s="3" t="s">
        <v>113</v>
      </c>
      <c r="AD348" s="3">
        <v>0</v>
      </c>
      <c r="AE348" s="3" t="s">
        <v>98</v>
      </c>
      <c r="AF348" s="3">
        <v>0</v>
      </c>
      <c r="AG348" s="3" t="s">
        <v>82</v>
      </c>
      <c r="AH348" s="3">
        <v>1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7" t="s">
        <v>119</v>
      </c>
      <c r="BX348" s="7" t="s">
        <v>119</v>
      </c>
    </row>
    <row r="349" spans="1:76">
      <c r="A349" s="3" t="s">
        <v>985</v>
      </c>
      <c r="B349" s="3">
        <v>3508</v>
      </c>
      <c r="C349" s="3" t="s">
        <v>986</v>
      </c>
      <c r="D349" s="3">
        <v>1</v>
      </c>
      <c r="E349" s="4">
        <v>22</v>
      </c>
      <c r="F349" s="3" t="s">
        <v>78</v>
      </c>
      <c r="G349" s="3">
        <v>0</v>
      </c>
      <c r="H349" s="3">
        <v>0</v>
      </c>
      <c r="I349" s="4">
        <v>1</v>
      </c>
      <c r="J349" s="4">
        <v>2</v>
      </c>
      <c r="K349" s="4">
        <v>3</v>
      </c>
      <c r="L349" s="5">
        <f>IF(F349="F",65.79,IF(F349="M",79.94,""))</f>
        <v>79.94</v>
      </c>
      <c r="M349" s="3">
        <f t="shared" si="35"/>
        <v>0</v>
      </c>
      <c r="N349" s="3" t="str">
        <f t="shared" si="36"/>
        <v>VSC-non-halitosis</v>
      </c>
      <c r="O349" s="3" t="str">
        <f t="shared" si="37"/>
        <v>Clinical- / VSC-</v>
      </c>
      <c r="P349" s="5">
        <f t="shared" si="38"/>
        <v>1.0986122886681098</v>
      </c>
      <c r="Q349" s="5">
        <f t="shared" si="39"/>
        <v>0.69314718055994529</v>
      </c>
      <c r="R349" s="5">
        <f t="shared" si="39"/>
        <v>1.0986122886681098</v>
      </c>
      <c r="S349" s="5">
        <f t="shared" si="40"/>
        <v>0.66666666666666663</v>
      </c>
      <c r="T349" s="3">
        <f t="shared" si="41"/>
        <v>1</v>
      </c>
      <c r="U349" s="3" t="s">
        <v>102</v>
      </c>
      <c r="V349" s="3">
        <v>1</v>
      </c>
      <c r="W349" s="6">
        <v>6.8</v>
      </c>
      <c r="X349" s="4">
        <v>7</v>
      </c>
      <c r="Y349" s="5">
        <v>0.5</v>
      </c>
      <c r="Z349" s="5">
        <v>1.3</v>
      </c>
      <c r="AA349" s="3" t="s">
        <v>80</v>
      </c>
      <c r="AB349" s="3">
        <v>0</v>
      </c>
      <c r="AC349" s="3" t="s">
        <v>81</v>
      </c>
      <c r="AD349" s="3">
        <v>0</v>
      </c>
      <c r="AE349" s="3" t="s">
        <v>82</v>
      </c>
      <c r="AF349" s="3">
        <v>1</v>
      </c>
      <c r="AG349" s="3" t="s">
        <v>98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7" t="s">
        <v>119</v>
      </c>
      <c r="BX349" s="7" t="s">
        <v>119</v>
      </c>
    </row>
    <row r="350" spans="1:76">
      <c r="A350" s="3" t="s">
        <v>987</v>
      </c>
      <c r="B350" s="3">
        <v>3517</v>
      </c>
      <c r="C350" s="3" t="s">
        <v>988</v>
      </c>
      <c r="D350" s="3">
        <v>1</v>
      </c>
      <c r="E350" s="4">
        <v>50</v>
      </c>
      <c r="F350" s="3" t="s">
        <v>87</v>
      </c>
      <c r="G350" s="3">
        <v>1</v>
      </c>
      <c r="H350" s="3">
        <v>0</v>
      </c>
      <c r="I350" s="4">
        <v>44</v>
      </c>
      <c r="J350" s="4">
        <v>0</v>
      </c>
      <c r="K350" s="4">
        <v>44</v>
      </c>
      <c r="L350" s="5">
        <f>IF(F350="F",65.79,IF(F350="M",79.94,""))</f>
        <v>65.790000000000006</v>
      </c>
      <c r="M350" s="3">
        <f t="shared" si="35"/>
        <v>0</v>
      </c>
      <c r="N350" s="3" t="str">
        <f t="shared" si="36"/>
        <v>VSC-non-halitosis</v>
      </c>
      <c r="O350" s="3" t="str">
        <f t="shared" si="37"/>
        <v>Clinical+ / VSC-</v>
      </c>
      <c r="P350" s="5">
        <f t="shared" si="38"/>
        <v>3.784189633918261</v>
      </c>
      <c r="Q350" s="5">
        <f t="shared" si="39"/>
        <v>3.8066624897703196</v>
      </c>
      <c r="R350" s="5">
        <f t="shared" si="39"/>
        <v>0</v>
      </c>
      <c r="S350" s="5">
        <f t="shared" si="40"/>
        <v>0</v>
      </c>
      <c r="T350" s="3">
        <f t="shared" si="41"/>
        <v>0</v>
      </c>
      <c r="U350" s="3" t="s">
        <v>96</v>
      </c>
      <c r="V350" s="3">
        <v>3</v>
      </c>
      <c r="W350" s="6">
        <v>7</v>
      </c>
      <c r="X350" s="4">
        <v>7</v>
      </c>
      <c r="Y350" s="5">
        <v>0.35</v>
      </c>
      <c r="Z350" s="5">
        <v>1.94</v>
      </c>
      <c r="AA350" s="3" t="s">
        <v>108</v>
      </c>
      <c r="AB350" s="3">
        <v>1</v>
      </c>
      <c r="AC350" s="3" t="s">
        <v>81</v>
      </c>
      <c r="AD350" s="3">
        <v>0</v>
      </c>
      <c r="AE350" s="3" t="s">
        <v>82</v>
      </c>
      <c r="AF350" s="3">
        <v>1</v>
      </c>
      <c r="AG350" s="3" t="s">
        <v>82</v>
      </c>
      <c r="AH350" s="3">
        <v>1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7" t="s">
        <v>119</v>
      </c>
      <c r="BX350" s="7" t="s">
        <v>989</v>
      </c>
    </row>
    <row r="351" spans="1:76">
      <c r="A351" s="3" t="s">
        <v>990</v>
      </c>
      <c r="B351" s="3">
        <v>3550</v>
      </c>
      <c r="C351" s="3" t="s">
        <v>991</v>
      </c>
      <c r="D351" s="3">
        <v>1</v>
      </c>
      <c r="E351" s="4">
        <v>73</v>
      </c>
      <c r="F351" s="3" t="s">
        <v>87</v>
      </c>
      <c r="G351" s="3">
        <v>0</v>
      </c>
      <c r="H351" s="3">
        <v>0</v>
      </c>
      <c r="I351" s="4">
        <v>20</v>
      </c>
      <c r="J351" s="4">
        <v>51</v>
      </c>
      <c r="K351" s="4">
        <v>71</v>
      </c>
      <c r="L351" s="5">
        <f>IF(F351="F",65.79,IF(F351="M",79.94,""))</f>
        <v>65.790000000000006</v>
      </c>
      <c r="M351" s="3">
        <f t="shared" si="35"/>
        <v>1</v>
      </c>
      <c r="N351" s="3" t="str">
        <f t="shared" si="36"/>
        <v>VSC-halitosis</v>
      </c>
      <c r="O351" s="3" t="str">
        <f t="shared" si="37"/>
        <v>Clinical- / VSC+</v>
      </c>
      <c r="P351" s="5">
        <f t="shared" si="38"/>
        <v>4.2626798770413155</v>
      </c>
      <c r="Q351" s="5">
        <f t="shared" si="39"/>
        <v>3.044522437723423</v>
      </c>
      <c r="R351" s="5">
        <f t="shared" si="39"/>
        <v>3.9512437185814275</v>
      </c>
      <c r="S351" s="5">
        <f t="shared" si="40"/>
        <v>0.71830985915492962</v>
      </c>
      <c r="T351" s="3">
        <f t="shared" si="41"/>
        <v>1</v>
      </c>
      <c r="U351" s="3" t="s">
        <v>96</v>
      </c>
      <c r="V351" s="3">
        <v>3</v>
      </c>
      <c r="W351" s="6">
        <v>6.4</v>
      </c>
      <c r="X351" s="4">
        <v>12</v>
      </c>
      <c r="Y351" s="5">
        <v>1.3</v>
      </c>
      <c r="Z351" s="5">
        <v>3</v>
      </c>
      <c r="AA351" s="3" t="s">
        <v>80</v>
      </c>
      <c r="AB351" s="3">
        <v>0</v>
      </c>
      <c r="AC351" s="3" t="s">
        <v>81</v>
      </c>
      <c r="AD351" s="3">
        <v>0</v>
      </c>
      <c r="AE351" s="3" t="s">
        <v>82</v>
      </c>
      <c r="AF351" s="3">
        <v>1</v>
      </c>
      <c r="AG351" s="3" t="s">
        <v>82</v>
      </c>
      <c r="AH351" s="3">
        <v>1</v>
      </c>
      <c r="AI351" s="3">
        <v>3</v>
      </c>
      <c r="AJ351" s="3">
        <v>0</v>
      </c>
      <c r="AK351" s="3">
        <v>0</v>
      </c>
      <c r="AL351" s="3">
        <v>1</v>
      </c>
      <c r="AM351" s="3">
        <v>0</v>
      </c>
      <c r="AN351" s="3">
        <v>0</v>
      </c>
      <c r="AO351" s="3">
        <v>0</v>
      </c>
      <c r="AP351" s="3">
        <v>1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1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7" t="s">
        <v>173</v>
      </c>
      <c r="BX351" s="7" t="s">
        <v>992</v>
      </c>
    </row>
    <row r="352" spans="1:76">
      <c r="A352" s="3" t="s">
        <v>993</v>
      </c>
      <c r="B352" s="3">
        <v>3567</v>
      </c>
      <c r="C352" s="3" t="s">
        <v>994</v>
      </c>
      <c r="D352" s="3">
        <v>1</v>
      </c>
      <c r="E352" s="4">
        <v>22</v>
      </c>
      <c r="F352" s="3" t="s">
        <v>78</v>
      </c>
      <c r="G352" s="3">
        <v>0</v>
      </c>
      <c r="H352" s="3">
        <v>0</v>
      </c>
      <c r="I352" s="4">
        <v>1720</v>
      </c>
      <c r="J352" s="4">
        <v>150</v>
      </c>
      <c r="K352" s="4">
        <v>1870</v>
      </c>
      <c r="L352" s="5">
        <f>IF(F352="F",65.79,IF(F352="M",79.94,""))</f>
        <v>79.94</v>
      </c>
      <c r="M352" s="3">
        <f t="shared" si="35"/>
        <v>1</v>
      </c>
      <c r="N352" s="3" t="str">
        <f t="shared" si="36"/>
        <v>VSC-halitosis</v>
      </c>
      <c r="O352" s="3" t="str">
        <f t="shared" si="37"/>
        <v>Clinical- / VSC+</v>
      </c>
      <c r="P352" s="5">
        <f t="shared" si="38"/>
        <v>7.5336937098486327</v>
      </c>
      <c r="Q352" s="5">
        <f t="shared" si="39"/>
        <v>7.4506607962115394</v>
      </c>
      <c r="R352" s="5">
        <f t="shared" si="39"/>
        <v>5.0172798368149243</v>
      </c>
      <c r="S352" s="5">
        <f t="shared" si="40"/>
        <v>8.0213903743315509E-2</v>
      </c>
      <c r="T352" s="3">
        <f t="shared" si="41"/>
        <v>0</v>
      </c>
      <c r="U352" s="3" t="s">
        <v>96</v>
      </c>
      <c r="V352" s="3">
        <v>3</v>
      </c>
      <c r="W352" s="6">
        <v>7.8</v>
      </c>
      <c r="X352" s="4">
        <v>12</v>
      </c>
      <c r="Y352" s="5">
        <v>1.25</v>
      </c>
      <c r="Z352" s="5">
        <v>3</v>
      </c>
      <c r="AA352" s="3" t="s">
        <v>80</v>
      </c>
      <c r="AB352" s="3">
        <v>0</v>
      </c>
      <c r="AC352" s="3" t="s">
        <v>113</v>
      </c>
      <c r="AD352" s="3">
        <v>0</v>
      </c>
      <c r="AE352" s="3" t="s">
        <v>98</v>
      </c>
      <c r="AF352" s="3">
        <v>0</v>
      </c>
      <c r="AG352" s="3" t="s">
        <v>98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7" t="s">
        <v>119</v>
      </c>
      <c r="BX352" s="7" t="s">
        <v>119</v>
      </c>
    </row>
    <row r="353" spans="1:76">
      <c r="A353" s="3" t="s">
        <v>995</v>
      </c>
      <c r="B353" s="3">
        <v>3590</v>
      </c>
      <c r="C353" s="3" t="s">
        <v>996</v>
      </c>
      <c r="D353" s="3">
        <v>1</v>
      </c>
      <c r="E353" s="4">
        <v>61</v>
      </c>
      <c r="F353" s="3" t="s">
        <v>87</v>
      </c>
      <c r="G353" s="3">
        <v>0</v>
      </c>
      <c r="H353" s="3">
        <v>0</v>
      </c>
      <c r="I353" s="4">
        <v>71</v>
      </c>
      <c r="J353" s="4">
        <v>84</v>
      </c>
      <c r="K353" s="4">
        <v>155</v>
      </c>
      <c r="L353" s="5">
        <f>IF(F353="F",65.79,IF(F353="M",79.94,""))</f>
        <v>65.790000000000006</v>
      </c>
      <c r="M353" s="3">
        <f t="shared" si="35"/>
        <v>1</v>
      </c>
      <c r="N353" s="3" t="str">
        <f t="shared" si="36"/>
        <v>VSC-halitosis</v>
      </c>
      <c r="O353" s="3" t="str">
        <f t="shared" si="37"/>
        <v>Clinical- / VSC+</v>
      </c>
      <c r="P353" s="5">
        <f t="shared" si="38"/>
        <v>5.0434251169192468</v>
      </c>
      <c r="Q353" s="5">
        <f t="shared" si="39"/>
        <v>4.2766661190160553</v>
      </c>
      <c r="R353" s="5">
        <f t="shared" si="39"/>
        <v>4.4426512564903167</v>
      </c>
      <c r="S353" s="5">
        <f t="shared" si="40"/>
        <v>0.54193548387096779</v>
      </c>
      <c r="T353" s="3">
        <f t="shared" si="41"/>
        <v>1</v>
      </c>
      <c r="U353" s="3" t="s">
        <v>96</v>
      </c>
      <c r="V353" s="3">
        <v>3</v>
      </c>
      <c r="W353" s="6">
        <v>6.4</v>
      </c>
      <c r="X353" s="4">
        <v>12</v>
      </c>
      <c r="Y353" s="5">
        <v>0.4</v>
      </c>
      <c r="Z353" s="5">
        <v>1.4</v>
      </c>
      <c r="AA353" s="3" t="s">
        <v>80</v>
      </c>
      <c r="AB353" s="3">
        <v>0</v>
      </c>
      <c r="AC353" s="3" t="s">
        <v>113</v>
      </c>
      <c r="AD353" s="3">
        <v>0</v>
      </c>
      <c r="AE353" s="3" t="s">
        <v>98</v>
      </c>
      <c r="AF353" s="3">
        <v>0</v>
      </c>
      <c r="AG353" s="3" t="s">
        <v>98</v>
      </c>
      <c r="AH353" s="3">
        <v>0</v>
      </c>
      <c r="AI353" s="3">
        <v>1</v>
      </c>
      <c r="AJ353" s="3">
        <v>1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1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1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7" t="s">
        <v>197</v>
      </c>
      <c r="BX353" s="7" t="s">
        <v>997</v>
      </c>
    </row>
    <row r="354" spans="1:76">
      <c r="A354" s="3" t="s">
        <v>998</v>
      </c>
      <c r="B354" s="3">
        <v>3591</v>
      </c>
      <c r="C354" s="3" t="s">
        <v>999</v>
      </c>
      <c r="D354" s="3">
        <v>1</v>
      </c>
      <c r="E354" s="4">
        <v>68</v>
      </c>
      <c r="F354" s="3" t="s">
        <v>87</v>
      </c>
      <c r="G354" s="3">
        <v>0</v>
      </c>
      <c r="H354" s="3">
        <v>0</v>
      </c>
      <c r="I354" s="4">
        <v>154</v>
      </c>
      <c r="J354" s="4">
        <v>109</v>
      </c>
      <c r="K354" s="4">
        <v>263</v>
      </c>
      <c r="L354" s="5">
        <f>IF(F354="F",65.79,IF(F354="M",79.94,""))</f>
        <v>65.790000000000006</v>
      </c>
      <c r="M354" s="3">
        <f t="shared" si="35"/>
        <v>1</v>
      </c>
      <c r="N354" s="3" t="str">
        <f t="shared" si="36"/>
        <v>VSC-halitosis</v>
      </c>
      <c r="O354" s="3" t="str">
        <f t="shared" si="37"/>
        <v>Clinical- / VSC+</v>
      </c>
      <c r="P354" s="5">
        <f t="shared" si="38"/>
        <v>5.5721540321777647</v>
      </c>
      <c r="Q354" s="5">
        <f t="shared" si="39"/>
        <v>5.0434251169192468</v>
      </c>
      <c r="R354" s="5">
        <f t="shared" si="39"/>
        <v>4.7004803657924166</v>
      </c>
      <c r="S354" s="5">
        <f t="shared" si="40"/>
        <v>0.4144486692015209</v>
      </c>
      <c r="T354" s="3">
        <f t="shared" si="41"/>
        <v>0</v>
      </c>
      <c r="U354" s="3" t="s">
        <v>96</v>
      </c>
      <c r="V354" s="3">
        <v>3</v>
      </c>
      <c r="W354" s="6">
        <v>6.2</v>
      </c>
      <c r="X354" s="4">
        <v>8</v>
      </c>
      <c r="Y354" s="5">
        <v>0.2</v>
      </c>
      <c r="Z354" s="5">
        <v>0.8</v>
      </c>
      <c r="AA354" s="3" t="s">
        <v>80</v>
      </c>
      <c r="AB354" s="3">
        <v>0</v>
      </c>
      <c r="AC354" s="3" t="s">
        <v>81</v>
      </c>
      <c r="AD354" s="3">
        <v>0</v>
      </c>
      <c r="AE354" s="3" t="s">
        <v>82</v>
      </c>
      <c r="AF354" s="3">
        <v>1</v>
      </c>
      <c r="AG354" s="3" t="s">
        <v>98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7" t="s">
        <v>119</v>
      </c>
      <c r="BX354" s="7" t="s">
        <v>119</v>
      </c>
    </row>
    <row r="355" spans="1:76" ht="85">
      <c r="A355" s="3" t="s">
        <v>1000</v>
      </c>
      <c r="B355" s="3">
        <v>3605</v>
      </c>
      <c r="C355" s="3" t="s">
        <v>1001</v>
      </c>
      <c r="D355" s="3">
        <v>1</v>
      </c>
      <c r="E355" s="4">
        <v>62</v>
      </c>
      <c r="F355" s="3" t="s">
        <v>87</v>
      </c>
      <c r="G355" s="3">
        <v>0</v>
      </c>
      <c r="H355" s="3">
        <v>0</v>
      </c>
      <c r="I355" s="4">
        <v>58</v>
      </c>
      <c r="J355" s="4">
        <v>48</v>
      </c>
      <c r="K355" s="4">
        <v>106</v>
      </c>
      <c r="L355" s="5">
        <f>IF(F355="F",65.79,IF(F355="M",79.94,""))</f>
        <v>65.790000000000006</v>
      </c>
      <c r="M355" s="3">
        <f t="shared" si="35"/>
        <v>1</v>
      </c>
      <c r="N355" s="3" t="str">
        <f t="shared" si="36"/>
        <v>VSC-halitosis</v>
      </c>
      <c r="O355" s="3" t="str">
        <f t="shared" si="37"/>
        <v>Clinical- / VSC+</v>
      </c>
      <c r="P355" s="5">
        <f t="shared" si="38"/>
        <v>4.6634390941120669</v>
      </c>
      <c r="Q355" s="5">
        <f t="shared" si="39"/>
        <v>4.0775374439057197</v>
      </c>
      <c r="R355" s="5">
        <f t="shared" si="39"/>
        <v>3.8918202981106265</v>
      </c>
      <c r="S355" s="5">
        <f t="shared" si="40"/>
        <v>0.45283018867924529</v>
      </c>
      <c r="T355" s="3">
        <f t="shared" si="41"/>
        <v>0</v>
      </c>
      <c r="U355" s="3" t="s">
        <v>96</v>
      </c>
      <c r="V355" s="3">
        <v>3</v>
      </c>
      <c r="W355" s="6">
        <v>6.6</v>
      </c>
      <c r="X355" s="4">
        <v>12</v>
      </c>
      <c r="Y355" s="5">
        <v>0.4</v>
      </c>
      <c r="Z355" s="5">
        <v>0.6</v>
      </c>
      <c r="AA355" s="3" t="s">
        <v>80</v>
      </c>
      <c r="AB355" s="3">
        <v>0</v>
      </c>
      <c r="AC355" s="3" t="s">
        <v>113</v>
      </c>
      <c r="AD355" s="3">
        <v>0</v>
      </c>
      <c r="AE355" s="3" t="s">
        <v>98</v>
      </c>
      <c r="AF355" s="3">
        <v>0</v>
      </c>
      <c r="AG355" s="3" t="s">
        <v>98</v>
      </c>
      <c r="AH355" s="3">
        <v>0</v>
      </c>
      <c r="AI355" s="3">
        <v>5</v>
      </c>
      <c r="AJ355" s="3">
        <v>6</v>
      </c>
      <c r="AK355" s="3">
        <v>2</v>
      </c>
      <c r="AL355" s="3">
        <v>0</v>
      </c>
      <c r="AM355" s="3">
        <v>0</v>
      </c>
      <c r="AN355" s="3">
        <v>1</v>
      </c>
      <c r="AO355" s="3">
        <v>1</v>
      </c>
      <c r="AP355" s="3">
        <v>0</v>
      </c>
      <c r="AQ355" s="3">
        <v>1</v>
      </c>
      <c r="AR355" s="3">
        <v>0</v>
      </c>
      <c r="AS355" s="3">
        <v>0</v>
      </c>
      <c r="AT355" s="3">
        <v>0</v>
      </c>
      <c r="AU355" s="3">
        <v>1</v>
      </c>
      <c r="AV355" s="3">
        <v>0</v>
      </c>
      <c r="AW355" s="3">
        <v>1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1</v>
      </c>
      <c r="BG355" s="3">
        <v>0</v>
      </c>
      <c r="BH355" s="3">
        <v>1</v>
      </c>
      <c r="BI355" s="3">
        <v>0</v>
      </c>
      <c r="BJ355" s="3">
        <v>1</v>
      </c>
      <c r="BK355" s="3">
        <v>0</v>
      </c>
      <c r="BL355" s="3">
        <v>0</v>
      </c>
      <c r="BM355" s="3">
        <v>0</v>
      </c>
      <c r="BN355" s="3">
        <v>0</v>
      </c>
      <c r="BO355" s="3">
        <v>1</v>
      </c>
      <c r="BP355" s="3">
        <v>1</v>
      </c>
      <c r="BQ355" s="3">
        <v>1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7" t="s">
        <v>1002</v>
      </c>
      <c r="BX355" s="7" t="s">
        <v>1003</v>
      </c>
    </row>
    <row r="356" spans="1:76" ht="68">
      <c r="A356" s="3" t="s">
        <v>1004</v>
      </c>
      <c r="B356" s="3">
        <v>3610</v>
      </c>
      <c r="C356" s="3" t="s">
        <v>1005</v>
      </c>
      <c r="D356" s="3">
        <v>1</v>
      </c>
      <c r="E356" s="4">
        <v>65</v>
      </c>
      <c r="F356" s="3" t="s">
        <v>87</v>
      </c>
      <c r="G356" s="3">
        <v>0</v>
      </c>
      <c r="H356" s="3">
        <v>0</v>
      </c>
      <c r="I356" s="4">
        <v>47</v>
      </c>
      <c r="J356" s="4">
        <v>28</v>
      </c>
      <c r="K356" s="4">
        <v>75</v>
      </c>
      <c r="L356" s="5">
        <f>IF(F356="F",65.79,IF(F356="M",79.94,""))</f>
        <v>65.790000000000006</v>
      </c>
      <c r="M356" s="3">
        <f t="shared" si="35"/>
        <v>1</v>
      </c>
      <c r="N356" s="3" t="str">
        <f t="shared" si="36"/>
        <v>VSC-halitosis</v>
      </c>
      <c r="O356" s="3" t="str">
        <f t="shared" si="37"/>
        <v>Clinical- / VSC+</v>
      </c>
      <c r="P356" s="5">
        <f t="shared" si="38"/>
        <v>4.3174881135363101</v>
      </c>
      <c r="Q356" s="5">
        <f t="shared" si="39"/>
        <v>3.8712010109078911</v>
      </c>
      <c r="R356" s="5">
        <f t="shared" si="39"/>
        <v>3.3672958299864741</v>
      </c>
      <c r="S356" s="5">
        <f t="shared" si="40"/>
        <v>0.37333333333333335</v>
      </c>
      <c r="T356" s="3">
        <f t="shared" si="41"/>
        <v>0</v>
      </c>
      <c r="U356" s="3" t="s">
        <v>96</v>
      </c>
      <c r="V356" s="3">
        <v>3</v>
      </c>
      <c r="W356" s="6">
        <v>6.8</v>
      </c>
      <c r="X356" s="4">
        <v>7</v>
      </c>
      <c r="Y356" s="5">
        <v>0.3</v>
      </c>
      <c r="Z356" s="5">
        <v>0.7</v>
      </c>
      <c r="AA356" s="3" t="s">
        <v>80</v>
      </c>
      <c r="AB356" s="3">
        <v>0</v>
      </c>
      <c r="AC356" s="3" t="s">
        <v>81</v>
      </c>
      <c r="AD356" s="3">
        <v>0</v>
      </c>
      <c r="AE356" s="3" t="s">
        <v>98</v>
      </c>
      <c r="AF356" s="3">
        <v>0</v>
      </c>
      <c r="AG356" s="3" t="s">
        <v>82</v>
      </c>
      <c r="AH356" s="3">
        <v>1</v>
      </c>
      <c r="AI356" s="3">
        <v>5</v>
      </c>
      <c r="AJ356" s="3">
        <v>1</v>
      </c>
      <c r="AK356" s="3">
        <v>0</v>
      </c>
      <c r="AL356" s="3">
        <v>1</v>
      </c>
      <c r="AM356" s="3">
        <v>1</v>
      </c>
      <c r="AN356" s="3">
        <v>1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1</v>
      </c>
      <c r="AV356" s="3">
        <v>0</v>
      </c>
      <c r="AW356" s="3">
        <v>1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1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7" t="s">
        <v>364</v>
      </c>
      <c r="BX356" s="7" t="s">
        <v>1006</v>
      </c>
    </row>
    <row r="357" spans="1:76">
      <c r="A357" s="3" t="s">
        <v>1007</v>
      </c>
      <c r="B357" s="3">
        <v>3632</v>
      </c>
      <c r="C357" s="3" t="s">
        <v>1008</v>
      </c>
      <c r="D357" s="3">
        <v>1</v>
      </c>
      <c r="E357" s="4">
        <v>60</v>
      </c>
      <c r="F357" s="3" t="s">
        <v>87</v>
      </c>
      <c r="G357" s="3">
        <v>0</v>
      </c>
      <c r="H357" s="3">
        <v>0</v>
      </c>
      <c r="I357" s="4">
        <v>101</v>
      </c>
      <c r="J357" s="4">
        <v>41</v>
      </c>
      <c r="K357" s="4">
        <v>142</v>
      </c>
      <c r="L357" s="5">
        <f>IF(F357="F",65.79,IF(F357="M",79.94,""))</f>
        <v>65.790000000000006</v>
      </c>
      <c r="M357" s="3">
        <f t="shared" si="35"/>
        <v>1</v>
      </c>
      <c r="N357" s="3" t="str">
        <f t="shared" si="36"/>
        <v>VSC-halitosis</v>
      </c>
      <c r="O357" s="3" t="str">
        <f t="shared" si="37"/>
        <v>Clinical- / VSC+</v>
      </c>
      <c r="P357" s="5">
        <f t="shared" si="38"/>
        <v>4.9558270576012609</v>
      </c>
      <c r="Q357" s="5">
        <f t="shared" si="39"/>
        <v>4.6249728132842707</v>
      </c>
      <c r="R357" s="5">
        <f t="shared" si="39"/>
        <v>3.7376696182833684</v>
      </c>
      <c r="S357" s="5">
        <f t="shared" si="40"/>
        <v>0.28873239436619719</v>
      </c>
      <c r="T357" s="3">
        <f t="shared" si="41"/>
        <v>0</v>
      </c>
      <c r="U357" s="3" t="s">
        <v>96</v>
      </c>
      <c r="V357" s="3">
        <v>3</v>
      </c>
      <c r="W357" s="6">
        <v>7.6</v>
      </c>
      <c r="X357" s="4">
        <v>9</v>
      </c>
      <c r="Y357" s="5">
        <v>0.3</v>
      </c>
      <c r="Z357" s="5">
        <v>1.5</v>
      </c>
      <c r="AA357" s="3" t="s">
        <v>80</v>
      </c>
      <c r="AB357" s="3">
        <v>0</v>
      </c>
      <c r="AC357" s="3" t="s">
        <v>81</v>
      </c>
      <c r="AD357" s="3">
        <v>0</v>
      </c>
      <c r="AE357" s="3" t="s">
        <v>82</v>
      </c>
      <c r="AF357" s="3">
        <v>1</v>
      </c>
      <c r="AG357" s="3" t="s">
        <v>98</v>
      </c>
      <c r="AH357" s="3">
        <v>0</v>
      </c>
      <c r="AI357" s="3">
        <v>1</v>
      </c>
      <c r="AJ357" s="3">
        <v>1</v>
      </c>
      <c r="AK357" s="3">
        <v>0</v>
      </c>
      <c r="AL357" s="3">
        <v>0</v>
      </c>
      <c r="AM357" s="3">
        <v>0</v>
      </c>
      <c r="AN357" s="3">
        <v>1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1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7" t="s">
        <v>1009</v>
      </c>
      <c r="BX357" s="7" t="s">
        <v>1010</v>
      </c>
    </row>
    <row r="358" spans="1:76">
      <c r="A358" s="3" t="s">
        <v>1011</v>
      </c>
      <c r="B358" s="3">
        <v>3688</v>
      </c>
      <c r="C358" s="3" t="s">
        <v>1012</v>
      </c>
      <c r="D358" s="3">
        <v>1</v>
      </c>
      <c r="E358" s="4">
        <v>43</v>
      </c>
      <c r="F358" s="3" t="s">
        <v>87</v>
      </c>
      <c r="G358" s="3">
        <v>0</v>
      </c>
      <c r="H358" s="3">
        <v>0</v>
      </c>
      <c r="I358" s="4">
        <v>62</v>
      </c>
      <c r="J358" s="4">
        <v>37</v>
      </c>
      <c r="K358" s="4">
        <v>99</v>
      </c>
      <c r="L358" s="5">
        <f>IF(F358="F",65.79,IF(F358="M",79.94,""))</f>
        <v>65.790000000000006</v>
      </c>
      <c r="M358" s="3">
        <f t="shared" si="35"/>
        <v>1</v>
      </c>
      <c r="N358" s="3" t="str">
        <f t="shared" si="36"/>
        <v>VSC-halitosis</v>
      </c>
      <c r="O358" s="3" t="str">
        <f t="shared" si="37"/>
        <v>Clinical- / VSC+</v>
      </c>
      <c r="P358" s="5">
        <f t="shared" si="38"/>
        <v>4.5951198501345898</v>
      </c>
      <c r="Q358" s="5">
        <f t="shared" si="39"/>
        <v>4.1431347263915326</v>
      </c>
      <c r="R358" s="5">
        <f t="shared" si="39"/>
        <v>3.6375861597263857</v>
      </c>
      <c r="S358" s="5">
        <f t="shared" si="40"/>
        <v>0.37373737373737376</v>
      </c>
      <c r="T358" s="3">
        <f t="shared" si="41"/>
        <v>0</v>
      </c>
      <c r="U358" s="3" t="s">
        <v>96</v>
      </c>
      <c r="V358" s="3">
        <v>3</v>
      </c>
      <c r="W358" s="6">
        <v>7</v>
      </c>
      <c r="X358" s="4">
        <v>8</v>
      </c>
      <c r="Y358" s="5">
        <v>0.2</v>
      </c>
      <c r="Z358" s="5">
        <v>1.5</v>
      </c>
      <c r="AA358" s="3" t="s">
        <v>80</v>
      </c>
      <c r="AB358" s="3">
        <v>0</v>
      </c>
      <c r="AC358" s="3" t="s">
        <v>81</v>
      </c>
      <c r="AD358" s="3">
        <v>0</v>
      </c>
      <c r="AE358" s="3" t="s">
        <v>82</v>
      </c>
      <c r="AF358" s="3">
        <v>1</v>
      </c>
      <c r="AG358" s="3" t="s">
        <v>98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7" t="s">
        <v>119</v>
      </c>
      <c r="BX358" s="7" t="s">
        <v>119</v>
      </c>
    </row>
    <row r="359" spans="1:76">
      <c r="A359" s="3" t="s">
        <v>1013</v>
      </c>
      <c r="B359" s="3">
        <v>3703</v>
      </c>
      <c r="C359" s="3" t="s">
        <v>1014</v>
      </c>
      <c r="D359" s="3">
        <v>1</v>
      </c>
      <c r="E359" s="4">
        <v>73</v>
      </c>
      <c r="F359" s="3" t="s">
        <v>87</v>
      </c>
      <c r="G359" s="3">
        <v>0</v>
      </c>
      <c r="H359" s="3">
        <v>0</v>
      </c>
      <c r="I359" s="4">
        <v>8</v>
      </c>
      <c r="J359" s="4">
        <v>50</v>
      </c>
      <c r="K359" s="4">
        <v>58</v>
      </c>
      <c r="L359" s="5">
        <f>IF(F359="F",65.79,IF(F359="M",79.94,""))</f>
        <v>65.790000000000006</v>
      </c>
      <c r="M359" s="3">
        <f t="shared" si="35"/>
        <v>0</v>
      </c>
      <c r="N359" s="3" t="str">
        <f t="shared" si="36"/>
        <v>VSC-non-halitosis</v>
      </c>
      <c r="O359" s="3" t="str">
        <f t="shared" si="37"/>
        <v>Clinical- / VSC-</v>
      </c>
      <c r="P359" s="5">
        <f t="shared" si="38"/>
        <v>4.0604430105464191</v>
      </c>
      <c r="Q359" s="5">
        <f t="shared" si="39"/>
        <v>2.1972245773362196</v>
      </c>
      <c r="R359" s="5">
        <f t="shared" si="39"/>
        <v>3.9318256327243257</v>
      </c>
      <c r="S359" s="5">
        <f t="shared" si="40"/>
        <v>0.86206896551724133</v>
      </c>
      <c r="T359" s="3">
        <f t="shared" si="41"/>
        <v>1</v>
      </c>
      <c r="U359" s="3" t="s">
        <v>96</v>
      </c>
      <c r="V359" s="3">
        <v>3</v>
      </c>
      <c r="W359" s="6">
        <v>6.4</v>
      </c>
      <c r="X359" s="4">
        <v>10</v>
      </c>
      <c r="Y359" s="5">
        <v>0.5</v>
      </c>
      <c r="Z359" s="5">
        <v>2</v>
      </c>
      <c r="AA359" s="3" t="s">
        <v>108</v>
      </c>
      <c r="AB359" s="3">
        <v>1</v>
      </c>
      <c r="AC359" s="3" t="s">
        <v>81</v>
      </c>
      <c r="AD359" s="3">
        <v>0</v>
      </c>
      <c r="AE359" s="3" t="s">
        <v>82</v>
      </c>
      <c r="AF359" s="3">
        <v>1</v>
      </c>
      <c r="AG359" s="3" t="s">
        <v>82</v>
      </c>
      <c r="AH359" s="3">
        <v>1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7" t="s">
        <v>119</v>
      </c>
      <c r="BX359" s="7" t="s">
        <v>1015</v>
      </c>
    </row>
    <row r="360" spans="1:76">
      <c r="A360" s="3" t="s">
        <v>1016</v>
      </c>
      <c r="B360" s="3">
        <v>3706</v>
      </c>
      <c r="C360" s="3" t="s">
        <v>1017</v>
      </c>
      <c r="D360" s="3">
        <v>1</v>
      </c>
      <c r="E360" s="4">
        <v>64</v>
      </c>
      <c r="F360" s="3" t="s">
        <v>78</v>
      </c>
      <c r="G360" s="3">
        <v>0</v>
      </c>
      <c r="H360" s="3">
        <v>0</v>
      </c>
      <c r="I360" s="4">
        <v>0</v>
      </c>
      <c r="J360" s="4">
        <v>59</v>
      </c>
      <c r="K360" s="4">
        <v>59</v>
      </c>
      <c r="L360" s="5">
        <f>IF(F360="F",65.79,IF(F360="M",79.94,""))</f>
        <v>79.94</v>
      </c>
      <c r="M360" s="3">
        <f t="shared" si="35"/>
        <v>0</v>
      </c>
      <c r="N360" s="3" t="str">
        <f t="shared" si="36"/>
        <v>VSC-non-halitosis</v>
      </c>
      <c r="O360" s="3" t="str">
        <f t="shared" si="37"/>
        <v>Clinical- / VSC-</v>
      </c>
      <c r="P360" s="5">
        <f t="shared" si="38"/>
        <v>4.0775374439057197</v>
      </c>
      <c r="Q360" s="5">
        <f t="shared" si="39"/>
        <v>0</v>
      </c>
      <c r="R360" s="5">
        <f t="shared" si="39"/>
        <v>4.0943445622221004</v>
      </c>
      <c r="S360" s="5">
        <f t="shared" si="40"/>
        <v>1</v>
      </c>
      <c r="T360" s="3">
        <f t="shared" si="41"/>
        <v>1</v>
      </c>
      <c r="U360" s="3" t="s">
        <v>96</v>
      </c>
      <c r="V360" s="3">
        <v>3</v>
      </c>
      <c r="W360" s="6">
        <v>6.2</v>
      </c>
      <c r="X360" s="4">
        <v>3</v>
      </c>
      <c r="Y360" s="5">
        <v>0.2</v>
      </c>
      <c r="Z360" s="5">
        <v>0.4</v>
      </c>
      <c r="AA360" s="3" t="s">
        <v>108</v>
      </c>
      <c r="AB360" s="3">
        <v>1</v>
      </c>
      <c r="AC360" s="3" t="s">
        <v>138</v>
      </c>
      <c r="AD360" s="3">
        <v>1</v>
      </c>
      <c r="AE360" s="3" t="s">
        <v>82</v>
      </c>
      <c r="AF360" s="3">
        <v>1</v>
      </c>
      <c r="AG360" s="3" t="s">
        <v>98</v>
      </c>
      <c r="AH360" s="3">
        <v>0</v>
      </c>
      <c r="AI360" s="3">
        <v>1</v>
      </c>
      <c r="AJ360" s="3">
        <v>0</v>
      </c>
      <c r="AK360" s="3">
        <v>0</v>
      </c>
      <c r="AL360" s="3">
        <v>1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7" t="s">
        <v>186</v>
      </c>
      <c r="BX360" s="7" t="s">
        <v>119</v>
      </c>
    </row>
    <row r="361" spans="1:76">
      <c r="A361" s="3" t="s">
        <v>1018</v>
      </c>
      <c r="B361" s="3">
        <v>3716</v>
      </c>
      <c r="C361" s="3" t="s">
        <v>1019</v>
      </c>
      <c r="D361" s="3">
        <v>1</v>
      </c>
      <c r="E361" s="4">
        <v>70</v>
      </c>
      <c r="F361" s="3" t="s">
        <v>87</v>
      </c>
      <c r="G361" s="3">
        <v>0</v>
      </c>
      <c r="H361" s="3">
        <v>0</v>
      </c>
      <c r="I361" s="4">
        <v>53</v>
      </c>
      <c r="J361" s="4">
        <v>27</v>
      </c>
      <c r="K361" s="4">
        <v>80</v>
      </c>
      <c r="L361" s="5">
        <f>IF(F361="F",65.79,IF(F361="M",79.94,""))</f>
        <v>65.790000000000006</v>
      </c>
      <c r="M361" s="3">
        <f t="shared" si="35"/>
        <v>1</v>
      </c>
      <c r="N361" s="3" t="str">
        <f t="shared" si="36"/>
        <v>VSC-halitosis</v>
      </c>
      <c r="O361" s="3" t="str">
        <f t="shared" si="37"/>
        <v>Clinical- / VSC+</v>
      </c>
      <c r="P361" s="5">
        <f t="shared" si="38"/>
        <v>4.3820266346738812</v>
      </c>
      <c r="Q361" s="5">
        <f t="shared" si="39"/>
        <v>3.9889840465642745</v>
      </c>
      <c r="R361" s="5">
        <f t="shared" si="39"/>
        <v>3.3322045101752038</v>
      </c>
      <c r="S361" s="5">
        <f t="shared" si="40"/>
        <v>0.33750000000000002</v>
      </c>
      <c r="T361" s="3">
        <f t="shared" si="41"/>
        <v>0</v>
      </c>
      <c r="U361" s="3" t="s">
        <v>96</v>
      </c>
      <c r="V361" s="3">
        <v>3</v>
      </c>
      <c r="W361" s="6">
        <v>6.6</v>
      </c>
      <c r="X361" s="4">
        <v>4</v>
      </c>
      <c r="Y361" s="5">
        <v>0</v>
      </c>
      <c r="Z361" s="5">
        <v>0.4</v>
      </c>
      <c r="AA361" s="3" t="s">
        <v>80</v>
      </c>
      <c r="AB361" s="3">
        <v>0</v>
      </c>
      <c r="AC361" s="3" t="s">
        <v>81</v>
      </c>
      <c r="AD361" s="3">
        <v>0</v>
      </c>
      <c r="AE361" s="3" t="s">
        <v>82</v>
      </c>
      <c r="AF361" s="3">
        <v>1</v>
      </c>
      <c r="AG361" s="3" t="s">
        <v>82</v>
      </c>
      <c r="AH361" s="3">
        <v>1</v>
      </c>
      <c r="AI361" s="3">
        <v>1</v>
      </c>
      <c r="AJ361" s="3">
        <v>2</v>
      </c>
      <c r="AK361" s="3">
        <v>1</v>
      </c>
      <c r="AL361" s="3">
        <v>0</v>
      </c>
      <c r="AM361" s="3">
        <v>1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1</v>
      </c>
      <c r="BK361" s="3">
        <v>1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7" t="s">
        <v>219</v>
      </c>
      <c r="BX361" s="7" t="s">
        <v>1020</v>
      </c>
    </row>
    <row r="362" spans="1:76">
      <c r="A362" s="3" t="s">
        <v>1021</v>
      </c>
      <c r="B362" s="3">
        <v>3719</v>
      </c>
      <c r="C362" s="3" t="s">
        <v>1022</v>
      </c>
      <c r="D362" s="3">
        <v>1</v>
      </c>
      <c r="E362" s="4">
        <v>77</v>
      </c>
      <c r="F362" s="3" t="s">
        <v>78</v>
      </c>
      <c r="G362" s="3">
        <v>0</v>
      </c>
      <c r="H362" s="3">
        <v>0</v>
      </c>
      <c r="I362" s="4">
        <v>73</v>
      </c>
      <c r="J362" s="4">
        <v>10</v>
      </c>
      <c r="K362" s="4">
        <v>83</v>
      </c>
      <c r="L362" s="5">
        <f>IF(F362="F",65.79,IF(F362="M",79.94,""))</f>
        <v>79.94</v>
      </c>
      <c r="M362" s="3">
        <f t="shared" si="35"/>
        <v>1</v>
      </c>
      <c r="N362" s="3" t="str">
        <f t="shared" si="36"/>
        <v>VSC-halitosis</v>
      </c>
      <c r="O362" s="3" t="str">
        <f t="shared" si="37"/>
        <v>Clinical- / VSC+</v>
      </c>
      <c r="P362" s="5">
        <f t="shared" si="38"/>
        <v>4.4188406077965983</v>
      </c>
      <c r="Q362" s="5">
        <f t="shared" si="39"/>
        <v>4.3040650932041702</v>
      </c>
      <c r="R362" s="5">
        <f t="shared" si="39"/>
        <v>2.3978952727983707</v>
      </c>
      <c r="S362" s="5">
        <f t="shared" si="40"/>
        <v>0.12048192771084337</v>
      </c>
      <c r="T362" s="3">
        <f t="shared" si="41"/>
        <v>0</v>
      </c>
      <c r="U362" s="3" t="s">
        <v>96</v>
      </c>
      <c r="V362" s="3">
        <v>3</v>
      </c>
      <c r="W362" s="6">
        <v>7.6</v>
      </c>
      <c r="X362" s="4">
        <v>12</v>
      </c>
      <c r="Y362" s="5">
        <v>0.7</v>
      </c>
      <c r="Z362" s="5">
        <v>2.4</v>
      </c>
      <c r="AA362" s="3" t="s">
        <v>80</v>
      </c>
      <c r="AB362" s="3">
        <v>0</v>
      </c>
      <c r="AC362" s="3" t="s">
        <v>81</v>
      </c>
      <c r="AD362" s="3">
        <v>0</v>
      </c>
      <c r="AE362" s="3" t="s">
        <v>98</v>
      </c>
      <c r="AF362" s="3">
        <v>0</v>
      </c>
      <c r="AG362" s="3" t="s">
        <v>103</v>
      </c>
      <c r="AH362" s="3">
        <v>1</v>
      </c>
      <c r="AI362" s="3">
        <v>2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1</v>
      </c>
      <c r="AQ362" s="3">
        <v>0</v>
      </c>
      <c r="AR362" s="3">
        <v>0</v>
      </c>
      <c r="AS362" s="3">
        <v>0</v>
      </c>
      <c r="AT362" s="3">
        <v>0</v>
      </c>
      <c r="AU362" s="3">
        <v>1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7" t="s">
        <v>104</v>
      </c>
      <c r="BX362" s="7" t="s">
        <v>1023</v>
      </c>
    </row>
    <row r="363" spans="1:76">
      <c r="A363" s="3" t="s">
        <v>1024</v>
      </c>
      <c r="B363" s="3">
        <v>5875</v>
      </c>
      <c r="C363" s="3" t="s">
        <v>1025</v>
      </c>
      <c r="D363" s="3">
        <v>1</v>
      </c>
      <c r="E363" s="4">
        <v>75</v>
      </c>
      <c r="F363" s="3" t="s">
        <v>87</v>
      </c>
      <c r="G363" s="3">
        <v>0</v>
      </c>
      <c r="H363" s="3">
        <v>0</v>
      </c>
      <c r="I363" s="4">
        <v>4</v>
      </c>
      <c r="J363" s="4">
        <v>3</v>
      </c>
      <c r="K363" s="4">
        <v>7</v>
      </c>
      <c r="L363" s="5">
        <f>IF(F363="F",65.79,IF(F363="M",79.94,""))</f>
        <v>65.790000000000006</v>
      </c>
      <c r="M363" s="3">
        <f t="shared" si="35"/>
        <v>0</v>
      </c>
      <c r="N363" s="3" t="str">
        <f t="shared" si="36"/>
        <v>VSC-non-halitosis</v>
      </c>
      <c r="O363" s="3" t="str">
        <f t="shared" si="37"/>
        <v>Clinical- / VSC-</v>
      </c>
      <c r="P363" s="5">
        <f t="shared" si="38"/>
        <v>1.9459101490553132</v>
      </c>
      <c r="Q363" s="5">
        <f t="shared" si="39"/>
        <v>1.6094379124341003</v>
      </c>
      <c r="R363" s="5">
        <f t="shared" si="39"/>
        <v>1.3862943611198906</v>
      </c>
      <c r="S363" s="5">
        <f t="shared" si="40"/>
        <v>0.42857142857142855</v>
      </c>
      <c r="T363" s="3">
        <f t="shared" si="41"/>
        <v>0</v>
      </c>
      <c r="U363" s="3" t="s">
        <v>79</v>
      </c>
      <c r="V363" s="3">
        <v>2</v>
      </c>
      <c r="W363" s="6">
        <v>7.6</v>
      </c>
      <c r="X363" s="4">
        <v>12</v>
      </c>
      <c r="Y363" s="5">
        <v>0.4</v>
      </c>
      <c r="Z363" s="5">
        <v>1.5</v>
      </c>
      <c r="AA363" s="3" t="s">
        <v>80</v>
      </c>
      <c r="AB363" s="3">
        <v>0</v>
      </c>
      <c r="AC363" s="3" t="s">
        <v>138</v>
      </c>
      <c r="AD363" s="3">
        <v>1</v>
      </c>
      <c r="AE363" s="3" t="s">
        <v>82</v>
      </c>
      <c r="AF363" s="3">
        <v>1</v>
      </c>
      <c r="AG363" s="3" t="s">
        <v>82</v>
      </c>
      <c r="AH363" s="3">
        <v>1</v>
      </c>
      <c r="AI363" s="3">
        <v>1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1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7" t="s">
        <v>1026</v>
      </c>
      <c r="BX363" s="7" t="s">
        <v>1026</v>
      </c>
    </row>
    <row r="364" spans="1:76">
      <c r="A364" s="3" t="s">
        <v>1027</v>
      </c>
      <c r="B364" s="3">
        <v>3740</v>
      </c>
      <c r="C364" s="3" t="s">
        <v>1028</v>
      </c>
      <c r="D364" s="3">
        <v>1</v>
      </c>
      <c r="E364" s="4">
        <v>60</v>
      </c>
      <c r="F364" s="3" t="s">
        <v>78</v>
      </c>
      <c r="G364" s="3">
        <v>0</v>
      </c>
      <c r="H364" s="3">
        <v>0</v>
      </c>
      <c r="I364" s="4">
        <v>0</v>
      </c>
      <c r="J364" s="4">
        <v>1</v>
      </c>
      <c r="K364" s="4">
        <v>1</v>
      </c>
      <c r="L364" s="5">
        <f>IF(F364="F",65.79,IF(F364="M",79.94,""))</f>
        <v>79.94</v>
      </c>
      <c r="M364" s="3">
        <f t="shared" si="35"/>
        <v>0</v>
      </c>
      <c r="N364" s="3" t="str">
        <f t="shared" si="36"/>
        <v>VSC-non-halitosis</v>
      </c>
      <c r="O364" s="3" t="str">
        <f t="shared" si="37"/>
        <v>Clinical- / VSC-</v>
      </c>
      <c r="P364" s="5">
        <f t="shared" si="38"/>
        <v>0</v>
      </c>
      <c r="Q364" s="5">
        <f t="shared" si="39"/>
        <v>0</v>
      </c>
      <c r="R364" s="5">
        <f t="shared" si="39"/>
        <v>0.69314718055994529</v>
      </c>
      <c r="S364" s="5">
        <f t="shared" si="40"/>
        <v>1</v>
      </c>
      <c r="T364" s="3">
        <f t="shared" si="41"/>
        <v>1</v>
      </c>
      <c r="U364" s="3" t="s">
        <v>102</v>
      </c>
      <c r="V364" s="3">
        <v>1</v>
      </c>
      <c r="W364" s="6">
        <v>6.4</v>
      </c>
      <c r="X364" s="4">
        <v>9</v>
      </c>
      <c r="Y364" s="5">
        <v>0.3</v>
      </c>
      <c r="Z364" s="5">
        <v>1.4</v>
      </c>
      <c r="AA364" s="3" t="s">
        <v>80</v>
      </c>
      <c r="AB364" s="3">
        <v>0</v>
      </c>
      <c r="AC364" s="3" t="s">
        <v>81</v>
      </c>
      <c r="AD364" s="3">
        <v>0</v>
      </c>
      <c r="AE364" s="3" t="s">
        <v>82</v>
      </c>
      <c r="AF364" s="3">
        <v>1</v>
      </c>
      <c r="AG364" s="3" t="s">
        <v>82</v>
      </c>
      <c r="AH364" s="3">
        <v>1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7" t="s">
        <v>119</v>
      </c>
      <c r="BX364" s="7" t="s">
        <v>1029</v>
      </c>
    </row>
    <row r="365" spans="1:76">
      <c r="A365" s="3" t="s">
        <v>1030</v>
      </c>
      <c r="B365" s="3">
        <v>3754</v>
      </c>
      <c r="C365" s="3" t="s">
        <v>1031</v>
      </c>
      <c r="D365" s="3">
        <v>1</v>
      </c>
      <c r="E365" s="4">
        <v>41</v>
      </c>
      <c r="F365" s="3" t="s">
        <v>87</v>
      </c>
      <c r="G365" s="3">
        <v>0</v>
      </c>
      <c r="H365" s="3">
        <v>0</v>
      </c>
      <c r="I365" s="4">
        <v>1</v>
      </c>
      <c r="J365" s="4">
        <v>1</v>
      </c>
      <c r="K365" s="4">
        <v>2</v>
      </c>
      <c r="L365" s="5">
        <f>IF(F365="F",65.79,IF(F365="M",79.94,""))</f>
        <v>65.790000000000006</v>
      </c>
      <c r="M365" s="3">
        <f t="shared" si="35"/>
        <v>0</v>
      </c>
      <c r="N365" s="3" t="str">
        <f t="shared" si="36"/>
        <v>VSC-non-halitosis</v>
      </c>
      <c r="O365" s="3" t="str">
        <f t="shared" si="37"/>
        <v>Clinical- / VSC-</v>
      </c>
      <c r="P365" s="5">
        <f t="shared" si="38"/>
        <v>0.69314718055994529</v>
      </c>
      <c r="Q365" s="5">
        <f t="shared" si="39"/>
        <v>0.69314718055994529</v>
      </c>
      <c r="R365" s="5">
        <f t="shared" si="39"/>
        <v>0.69314718055994529</v>
      </c>
      <c r="S365" s="5">
        <f t="shared" si="40"/>
        <v>0.5</v>
      </c>
      <c r="T365" s="3">
        <f t="shared" si="41"/>
        <v>0</v>
      </c>
      <c r="U365" s="3" t="s">
        <v>102</v>
      </c>
      <c r="V365" s="3">
        <v>1</v>
      </c>
      <c r="W365" s="6">
        <v>7.4</v>
      </c>
      <c r="X365" s="4">
        <v>10</v>
      </c>
      <c r="Y365" s="5">
        <v>1.2</v>
      </c>
      <c r="Z365" s="5">
        <v>3</v>
      </c>
      <c r="AA365" s="3" t="s">
        <v>80</v>
      </c>
      <c r="AB365" s="3">
        <v>0</v>
      </c>
      <c r="AC365" s="3" t="s">
        <v>81</v>
      </c>
      <c r="AD365" s="3">
        <v>0</v>
      </c>
      <c r="AE365" s="3" t="s">
        <v>82</v>
      </c>
      <c r="AF365" s="3">
        <v>1</v>
      </c>
      <c r="AG365" s="3" t="s">
        <v>98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7" t="s">
        <v>119</v>
      </c>
      <c r="BX365" s="7" t="s">
        <v>119</v>
      </c>
    </row>
    <row r="366" spans="1:76">
      <c r="A366" s="3" t="s">
        <v>1032</v>
      </c>
      <c r="B366" s="3">
        <v>3774</v>
      </c>
      <c r="C366" s="3" t="s">
        <v>1033</v>
      </c>
      <c r="D366" s="3">
        <v>2</v>
      </c>
      <c r="E366" s="4">
        <v>53</v>
      </c>
      <c r="F366" s="3" t="s">
        <v>87</v>
      </c>
      <c r="G366" s="3">
        <v>1</v>
      </c>
      <c r="H366" s="3">
        <v>0</v>
      </c>
      <c r="I366" s="4">
        <v>47</v>
      </c>
      <c r="J366" s="4">
        <v>12</v>
      </c>
      <c r="K366" s="4">
        <v>59</v>
      </c>
      <c r="L366" s="5">
        <f>IF(F366="F",65.79,IF(F366="M",79.94,""))</f>
        <v>65.790000000000006</v>
      </c>
      <c r="M366" s="3">
        <f t="shared" si="35"/>
        <v>0</v>
      </c>
      <c r="N366" s="3" t="str">
        <f t="shared" si="36"/>
        <v>VSC-non-halitosis</v>
      </c>
      <c r="O366" s="3" t="str">
        <f t="shared" si="37"/>
        <v>Clinical+ / VSC-</v>
      </c>
      <c r="P366" s="5">
        <f t="shared" si="38"/>
        <v>4.0775374439057197</v>
      </c>
      <c r="Q366" s="5">
        <f t="shared" si="39"/>
        <v>3.8712010109078911</v>
      </c>
      <c r="R366" s="5">
        <f t="shared" si="39"/>
        <v>2.5649493574615367</v>
      </c>
      <c r="S366" s="5">
        <f t="shared" si="40"/>
        <v>0.20338983050847459</v>
      </c>
      <c r="T366" s="3">
        <f t="shared" si="41"/>
        <v>0</v>
      </c>
      <c r="U366" s="3" t="s">
        <v>96</v>
      </c>
      <c r="V366" s="3">
        <v>3</v>
      </c>
      <c r="W366" s="6">
        <v>6.4</v>
      </c>
      <c r="X366" s="4">
        <v>10</v>
      </c>
      <c r="Y366" s="5">
        <v>0.5</v>
      </c>
      <c r="Z366" s="5">
        <v>5</v>
      </c>
      <c r="AA366" s="3" t="s">
        <v>80</v>
      </c>
      <c r="AB366" s="3">
        <v>0</v>
      </c>
      <c r="AC366" s="3" t="s">
        <v>81</v>
      </c>
      <c r="AD366" s="3">
        <v>0</v>
      </c>
      <c r="AE366" s="3" t="s">
        <v>82</v>
      </c>
      <c r="AF366" s="3">
        <v>1</v>
      </c>
      <c r="AG366" s="3" t="s">
        <v>82</v>
      </c>
      <c r="AH366" s="3">
        <v>1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7" t="s">
        <v>119</v>
      </c>
      <c r="BX366" s="7" t="s">
        <v>119</v>
      </c>
    </row>
    <row r="367" spans="1:76">
      <c r="A367" s="3" t="s">
        <v>1034</v>
      </c>
      <c r="B367" s="3">
        <v>3774</v>
      </c>
      <c r="C367" s="3" t="s">
        <v>1033</v>
      </c>
      <c r="D367" s="3">
        <v>2</v>
      </c>
      <c r="E367" s="4">
        <v>53</v>
      </c>
      <c r="F367" s="3" t="s">
        <v>87</v>
      </c>
      <c r="G367" s="3">
        <v>1</v>
      </c>
      <c r="H367" s="3">
        <v>0</v>
      </c>
      <c r="I367" s="4">
        <v>0</v>
      </c>
      <c r="J367" s="4">
        <v>1</v>
      </c>
      <c r="K367" s="4">
        <v>1</v>
      </c>
      <c r="L367" s="5">
        <f>IF(F367="F",65.79,IF(F367="M",79.94,""))</f>
        <v>65.790000000000006</v>
      </c>
      <c r="M367" s="3">
        <f t="shared" si="35"/>
        <v>0</v>
      </c>
      <c r="N367" s="3" t="str">
        <f t="shared" si="36"/>
        <v>VSC-non-halitosis</v>
      </c>
      <c r="O367" s="3" t="str">
        <f t="shared" si="37"/>
        <v>Clinical+ / VSC-</v>
      </c>
      <c r="P367" s="5">
        <f t="shared" si="38"/>
        <v>0</v>
      </c>
      <c r="Q367" s="5">
        <f t="shared" si="39"/>
        <v>0</v>
      </c>
      <c r="R367" s="5">
        <f t="shared" si="39"/>
        <v>0.69314718055994529</v>
      </c>
      <c r="S367" s="5">
        <f t="shared" si="40"/>
        <v>1</v>
      </c>
      <c r="T367" s="3">
        <f t="shared" si="41"/>
        <v>1</v>
      </c>
      <c r="U367" s="3" t="s">
        <v>102</v>
      </c>
      <c r="V367" s="3">
        <v>1</v>
      </c>
      <c r="W367" s="6">
        <v>6.4</v>
      </c>
      <c r="X367" s="4">
        <v>10</v>
      </c>
      <c r="Y367" s="5">
        <v>0.5</v>
      </c>
      <c r="Z367" s="5">
        <v>5</v>
      </c>
      <c r="AA367" s="3" t="s">
        <v>80</v>
      </c>
      <c r="AB367" s="3">
        <v>0</v>
      </c>
      <c r="AC367" s="3" t="s">
        <v>81</v>
      </c>
      <c r="AD367" s="3">
        <v>0</v>
      </c>
      <c r="AE367" s="3" t="s">
        <v>82</v>
      </c>
      <c r="AF367" s="3">
        <v>1</v>
      </c>
      <c r="AG367" s="3" t="s">
        <v>82</v>
      </c>
      <c r="AH367" s="3">
        <v>1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7" t="s">
        <v>119</v>
      </c>
      <c r="BX367" s="7" t="s">
        <v>119</v>
      </c>
    </row>
    <row r="368" spans="1:76">
      <c r="A368" s="3" t="s">
        <v>1035</v>
      </c>
      <c r="B368" s="3">
        <v>3803</v>
      </c>
      <c r="C368" s="3" t="s">
        <v>1036</v>
      </c>
      <c r="D368" s="3">
        <v>1</v>
      </c>
      <c r="E368" s="4">
        <v>67</v>
      </c>
      <c r="F368" s="3" t="s">
        <v>78</v>
      </c>
      <c r="G368" s="3">
        <v>0</v>
      </c>
      <c r="H368" s="3">
        <v>0</v>
      </c>
      <c r="I368" s="4">
        <v>63</v>
      </c>
      <c r="J368" s="4">
        <v>56</v>
      </c>
      <c r="K368" s="4">
        <v>119</v>
      </c>
      <c r="L368" s="5">
        <f>IF(F368="F",65.79,IF(F368="M",79.94,""))</f>
        <v>79.94</v>
      </c>
      <c r="M368" s="3">
        <f t="shared" si="35"/>
        <v>1</v>
      </c>
      <c r="N368" s="3" t="str">
        <f t="shared" si="36"/>
        <v>VSC-halitosis</v>
      </c>
      <c r="O368" s="3" t="str">
        <f t="shared" si="37"/>
        <v>Clinical- / VSC+</v>
      </c>
      <c r="P368" s="5">
        <f t="shared" si="38"/>
        <v>4.7791234931115296</v>
      </c>
      <c r="Q368" s="5">
        <f t="shared" si="39"/>
        <v>4.1588830833596715</v>
      </c>
      <c r="R368" s="5">
        <f t="shared" si="39"/>
        <v>4.0430512678345503</v>
      </c>
      <c r="S368" s="5">
        <f t="shared" si="40"/>
        <v>0.47058823529411764</v>
      </c>
      <c r="T368" s="3">
        <f t="shared" si="41"/>
        <v>0</v>
      </c>
      <c r="U368" s="3" t="s">
        <v>96</v>
      </c>
      <c r="V368" s="3">
        <v>3</v>
      </c>
      <c r="W368" s="6">
        <v>6.4</v>
      </c>
      <c r="X368" s="4">
        <v>7</v>
      </c>
      <c r="Y368" s="5">
        <v>0.5</v>
      </c>
      <c r="Z368" s="5">
        <v>1.8</v>
      </c>
      <c r="AA368" s="3" t="s">
        <v>80</v>
      </c>
      <c r="AB368" s="3">
        <v>0</v>
      </c>
      <c r="AC368" s="3" t="s">
        <v>81</v>
      </c>
      <c r="AD368" s="3">
        <v>0</v>
      </c>
      <c r="AE368" s="3" t="s">
        <v>82</v>
      </c>
      <c r="AF368" s="3">
        <v>1</v>
      </c>
      <c r="AG368" s="3" t="s">
        <v>98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7" t="s">
        <v>119</v>
      </c>
      <c r="BX368" s="7" t="s">
        <v>119</v>
      </c>
    </row>
    <row r="369" spans="1:76" ht="34">
      <c r="A369" s="3" t="s">
        <v>1037</v>
      </c>
      <c r="B369" s="3">
        <v>3821</v>
      </c>
      <c r="C369" s="3" t="s">
        <v>1038</v>
      </c>
      <c r="D369" s="3">
        <v>1</v>
      </c>
      <c r="E369" s="4">
        <v>78</v>
      </c>
      <c r="F369" s="3" t="s">
        <v>87</v>
      </c>
      <c r="G369" s="3">
        <v>0</v>
      </c>
      <c r="H369" s="3">
        <v>0</v>
      </c>
      <c r="I369" s="4">
        <v>93</v>
      </c>
      <c r="J369" s="4">
        <v>61</v>
      </c>
      <c r="K369" s="4">
        <v>154</v>
      </c>
      <c r="L369" s="5">
        <f>IF(F369="F",65.79,IF(F369="M",79.94,""))</f>
        <v>65.790000000000006</v>
      </c>
      <c r="M369" s="3">
        <f t="shared" si="35"/>
        <v>1</v>
      </c>
      <c r="N369" s="3" t="str">
        <f t="shared" si="36"/>
        <v>VSC-halitosis</v>
      </c>
      <c r="O369" s="3" t="str">
        <f t="shared" si="37"/>
        <v>Clinical- / VSC+</v>
      </c>
      <c r="P369" s="5">
        <f t="shared" si="38"/>
        <v>5.0369526024136295</v>
      </c>
      <c r="Q369" s="5">
        <f t="shared" si="39"/>
        <v>4.5432947822700038</v>
      </c>
      <c r="R369" s="5">
        <f t="shared" si="39"/>
        <v>4.1271343850450917</v>
      </c>
      <c r="S369" s="5">
        <f t="shared" si="40"/>
        <v>0.39610389610389612</v>
      </c>
      <c r="T369" s="3">
        <f t="shared" si="41"/>
        <v>0</v>
      </c>
      <c r="U369" s="3" t="s">
        <v>96</v>
      </c>
      <c r="V369" s="3">
        <v>3</v>
      </c>
      <c r="W369" s="6">
        <v>7</v>
      </c>
      <c r="X369" s="4">
        <v>10</v>
      </c>
      <c r="Y369" s="5">
        <v>0.45</v>
      </c>
      <c r="Z369" s="5">
        <v>1.5</v>
      </c>
      <c r="AA369" s="3" t="s">
        <v>80</v>
      </c>
      <c r="AB369" s="3">
        <v>0</v>
      </c>
      <c r="AC369" s="3" t="s">
        <v>81</v>
      </c>
      <c r="AD369" s="3">
        <v>0</v>
      </c>
      <c r="AE369" s="3" t="s">
        <v>82</v>
      </c>
      <c r="AF369" s="3">
        <v>1</v>
      </c>
      <c r="AG369" s="3" t="s">
        <v>82</v>
      </c>
      <c r="AH369" s="3">
        <v>1</v>
      </c>
      <c r="AI369" s="3">
        <v>3</v>
      </c>
      <c r="AJ369" s="3">
        <v>3</v>
      </c>
      <c r="AK369" s="3">
        <v>1</v>
      </c>
      <c r="AL369" s="3">
        <v>1</v>
      </c>
      <c r="AM369" s="3">
        <v>0</v>
      </c>
      <c r="AN369" s="3">
        <v>0</v>
      </c>
      <c r="AO369" s="3">
        <v>1</v>
      </c>
      <c r="AP369" s="3">
        <v>1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1</v>
      </c>
      <c r="BH369" s="3">
        <v>0</v>
      </c>
      <c r="BI369" s="3">
        <v>0</v>
      </c>
      <c r="BJ369" s="3">
        <v>0</v>
      </c>
      <c r="BK369" s="3">
        <v>0</v>
      </c>
      <c r="BL369" s="3">
        <v>1</v>
      </c>
      <c r="BM369" s="3">
        <v>0</v>
      </c>
      <c r="BN369" s="3">
        <v>0</v>
      </c>
      <c r="BO369" s="3">
        <v>1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7" t="s">
        <v>1039</v>
      </c>
      <c r="BX369" s="7" t="s">
        <v>1040</v>
      </c>
    </row>
    <row r="370" spans="1:76">
      <c r="A370" s="3" t="s">
        <v>1041</v>
      </c>
      <c r="B370" s="3">
        <v>3830</v>
      </c>
      <c r="C370" s="3" t="s">
        <v>1042</v>
      </c>
      <c r="D370" s="3">
        <v>1</v>
      </c>
      <c r="E370" s="4">
        <v>39</v>
      </c>
      <c r="F370" s="3" t="s">
        <v>87</v>
      </c>
      <c r="G370" s="3">
        <v>0</v>
      </c>
      <c r="H370" s="3">
        <v>0</v>
      </c>
      <c r="I370" s="4">
        <v>11</v>
      </c>
      <c r="J370" s="4">
        <v>12</v>
      </c>
      <c r="K370" s="4">
        <v>23</v>
      </c>
      <c r="L370" s="5">
        <f>IF(F370="F",65.79,IF(F370="M",79.94,""))</f>
        <v>65.790000000000006</v>
      </c>
      <c r="M370" s="3">
        <f t="shared" si="35"/>
        <v>0</v>
      </c>
      <c r="N370" s="3" t="str">
        <f t="shared" si="36"/>
        <v>VSC-non-halitosis</v>
      </c>
      <c r="O370" s="3" t="str">
        <f t="shared" si="37"/>
        <v>Clinical- / VSC-</v>
      </c>
      <c r="P370" s="5">
        <f t="shared" si="38"/>
        <v>3.1354942159291497</v>
      </c>
      <c r="Q370" s="5">
        <f t="shared" si="39"/>
        <v>2.4849066497880004</v>
      </c>
      <c r="R370" s="5">
        <f t="shared" si="39"/>
        <v>2.5649493574615367</v>
      </c>
      <c r="S370" s="5">
        <f t="shared" si="40"/>
        <v>0.52173913043478259</v>
      </c>
      <c r="T370" s="3">
        <f t="shared" si="41"/>
        <v>1</v>
      </c>
      <c r="U370" s="3" t="s">
        <v>79</v>
      </c>
      <c r="V370" s="3">
        <v>2</v>
      </c>
      <c r="W370" s="6">
        <v>6</v>
      </c>
      <c r="X370" s="4">
        <v>11</v>
      </c>
      <c r="Y370" s="5">
        <v>0.15</v>
      </c>
      <c r="Z370" s="5">
        <v>0.7</v>
      </c>
      <c r="AA370" s="3" t="s">
        <v>80</v>
      </c>
      <c r="AB370" s="3">
        <v>0</v>
      </c>
      <c r="AC370" s="3" t="s">
        <v>81</v>
      </c>
      <c r="AD370" s="3">
        <v>0</v>
      </c>
      <c r="AE370" s="3" t="s">
        <v>82</v>
      </c>
      <c r="AF370" s="3">
        <v>1</v>
      </c>
      <c r="AG370" s="3" t="s">
        <v>82</v>
      </c>
      <c r="AH370" s="3">
        <v>1</v>
      </c>
      <c r="AI370" s="3">
        <v>1</v>
      </c>
      <c r="AJ370" s="3">
        <v>1</v>
      </c>
      <c r="AK370" s="3">
        <v>1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1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1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7" t="s">
        <v>119</v>
      </c>
      <c r="BX370" s="7" t="s">
        <v>1043</v>
      </c>
    </row>
    <row r="371" spans="1:76" ht="34">
      <c r="A371" s="3" t="s">
        <v>1044</v>
      </c>
      <c r="B371" s="3">
        <v>3854</v>
      </c>
      <c r="C371" s="3" t="s">
        <v>1045</v>
      </c>
      <c r="D371" s="3">
        <v>3</v>
      </c>
      <c r="E371" s="4">
        <v>74</v>
      </c>
      <c r="F371" s="3" t="s">
        <v>87</v>
      </c>
      <c r="G371" s="3">
        <v>0</v>
      </c>
      <c r="H371" s="3">
        <v>0</v>
      </c>
      <c r="I371" s="4">
        <v>16</v>
      </c>
      <c r="J371" s="4">
        <v>0</v>
      </c>
      <c r="K371" s="4">
        <v>16</v>
      </c>
      <c r="L371" s="5">
        <f>IF(F371="F",65.79,IF(F371="M",79.94,""))</f>
        <v>65.790000000000006</v>
      </c>
      <c r="M371" s="3">
        <f t="shared" si="35"/>
        <v>0</v>
      </c>
      <c r="N371" s="3" t="str">
        <f t="shared" si="36"/>
        <v>VSC-non-halitosis</v>
      </c>
      <c r="O371" s="3" t="str">
        <f t="shared" si="37"/>
        <v>Clinical- / VSC-</v>
      </c>
      <c r="P371" s="5">
        <f t="shared" si="38"/>
        <v>2.7725887222397811</v>
      </c>
      <c r="Q371" s="5">
        <f t="shared" si="39"/>
        <v>2.8332133440562162</v>
      </c>
      <c r="R371" s="5">
        <f t="shared" si="39"/>
        <v>0</v>
      </c>
      <c r="S371" s="5">
        <f t="shared" si="40"/>
        <v>0</v>
      </c>
      <c r="T371" s="3">
        <f t="shared" si="41"/>
        <v>0</v>
      </c>
      <c r="U371" s="3" t="s">
        <v>79</v>
      </c>
      <c r="V371" s="3">
        <v>2</v>
      </c>
      <c r="W371" s="6">
        <v>6.4</v>
      </c>
      <c r="X371" s="4">
        <v>12</v>
      </c>
      <c r="Y371" s="5">
        <v>0.75</v>
      </c>
      <c r="Z371" s="5">
        <v>2.2000000000000002</v>
      </c>
      <c r="AA371" s="3" t="s">
        <v>80</v>
      </c>
      <c r="AB371" s="3">
        <v>0</v>
      </c>
      <c r="AC371" s="3" t="s">
        <v>81</v>
      </c>
      <c r="AD371" s="3">
        <v>0</v>
      </c>
      <c r="AE371" s="3" t="s">
        <v>98</v>
      </c>
      <c r="AF371" s="3">
        <v>0</v>
      </c>
      <c r="AG371" s="3" t="s">
        <v>98</v>
      </c>
      <c r="AH371" s="3">
        <v>0</v>
      </c>
      <c r="AI371" s="3">
        <v>2</v>
      </c>
      <c r="AJ371" s="3">
        <v>2</v>
      </c>
      <c r="AK371" s="3">
        <v>1</v>
      </c>
      <c r="AL371" s="3">
        <v>1</v>
      </c>
      <c r="AM371" s="3">
        <v>0</v>
      </c>
      <c r="AN371" s="3">
        <v>1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1</v>
      </c>
      <c r="BG371" s="3">
        <v>1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7" t="s">
        <v>1046</v>
      </c>
      <c r="BX371" s="7" t="s">
        <v>119</v>
      </c>
    </row>
    <row r="372" spans="1:76" ht="34">
      <c r="A372" s="3" t="s">
        <v>1047</v>
      </c>
      <c r="B372" s="3">
        <v>3854</v>
      </c>
      <c r="C372" s="3" t="s">
        <v>1045</v>
      </c>
      <c r="D372" s="3">
        <v>3</v>
      </c>
      <c r="E372" s="4">
        <v>74</v>
      </c>
      <c r="F372" s="3" t="s">
        <v>87</v>
      </c>
      <c r="G372" s="3">
        <v>0</v>
      </c>
      <c r="H372" s="3">
        <v>0</v>
      </c>
      <c r="I372" s="4">
        <v>16</v>
      </c>
      <c r="J372" s="4">
        <v>0</v>
      </c>
      <c r="K372" s="4">
        <v>16</v>
      </c>
      <c r="L372" s="5">
        <f>IF(F372="F",65.79,IF(F372="M",79.94,""))</f>
        <v>65.790000000000006</v>
      </c>
      <c r="M372" s="3">
        <f t="shared" si="35"/>
        <v>0</v>
      </c>
      <c r="N372" s="3" t="str">
        <f t="shared" si="36"/>
        <v>VSC-non-halitosis</v>
      </c>
      <c r="O372" s="3" t="str">
        <f t="shared" si="37"/>
        <v>Clinical- / VSC-</v>
      </c>
      <c r="P372" s="5">
        <f t="shared" si="38"/>
        <v>2.7725887222397811</v>
      </c>
      <c r="Q372" s="5">
        <f t="shared" si="39"/>
        <v>2.8332133440562162</v>
      </c>
      <c r="R372" s="5">
        <f t="shared" si="39"/>
        <v>0</v>
      </c>
      <c r="S372" s="5">
        <f t="shared" si="40"/>
        <v>0</v>
      </c>
      <c r="T372" s="3">
        <f t="shared" si="41"/>
        <v>0</v>
      </c>
      <c r="U372" s="3" t="s">
        <v>79</v>
      </c>
      <c r="V372" s="3">
        <v>2</v>
      </c>
      <c r="W372" s="6"/>
      <c r="X372" s="4">
        <v>10</v>
      </c>
      <c r="Y372" s="5">
        <v>0.5</v>
      </c>
      <c r="Z372" s="5">
        <v>1.5</v>
      </c>
      <c r="AA372" s="3" t="s">
        <v>80</v>
      </c>
      <c r="AB372" s="3">
        <v>0</v>
      </c>
      <c r="AC372" s="3" t="s">
        <v>81</v>
      </c>
      <c r="AD372" s="3">
        <v>0</v>
      </c>
      <c r="AE372" s="3" t="s">
        <v>98</v>
      </c>
      <c r="AF372" s="3">
        <v>0</v>
      </c>
      <c r="AG372" s="3" t="s">
        <v>98</v>
      </c>
      <c r="AH372" s="3">
        <v>0</v>
      </c>
      <c r="AI372" s="3">
        <v>2</v>
      </c>
      <c r="AJ372" s="3">
        <v>2</v>
      </c>
      <c r="AK372" s="3">
        <v>1</v>
      </c>
      <c r="AL372" s="3">
        <v>1</v>
      </c>
      <c r="AM372" s="3">
        <v>0</v>
      </c>
      <c r="AN372" s="3">
        <v>1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1</v>
      </c>
      <c r="BG372" s="3">
        <v>1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7" t="s">
        <v>1046</v>
      </c>
      <c r="BX372" s="7" t="s">
        <v>119</v>
      </c>
    </row>
    <row r="373" spans="1:76" ht="34">
      <c r="A373" s="3" t="s">
        <v>1048</v>
      </c>
      <c r="B373" s="3">
        <v>3854</v>
      </c>
      <c r="C373" s="3" t="s">
        <v>1045</v>
      </c>
      <c r="D373" s="3">
        <v>3</v>
      </c>
      <c r="E373" s="4">
        <v>74</v>
      </c>
      <c r="F373" s="3" t="s">
        <v>87</v>
      </c>
      <c r="G373" s="3">
        <v>0</v>
      </c>
      <c r="H373" s="3">
        <v>0</v>
      </c>
      <c r="I373" s="4">
        <v>16</v>
      </c>
      <c r="J373" s="4">
        <v>0</v>
      </c>
      <c r="K373" s="4">
        <v>16</v>
      </c>
      <c r="L373" s="5">
        <f>IF(F373="F",65.79,IF(F373="M",79.94,""))</f>
        <v>65.790000000000006</v>
      </c>
      <c r="M373" s="3">
        <f t="shared" si="35"/>
        <v>0</v>
      </c>
      <c r="N373" s="3" t="str">
        <f t="shared" si="36"/>
        <v>VSC-non-halitosis</v>
      </c>
      <c r="O373" s="3" t="str">
        <f t="shared" si="37"/>
        <v>Clinical- / VSC-</v>
      </c>
      <c r="P373" s="5">
        <f t="shared" si="38"/>
        <v>2.7725887222397811</v>
      </c>
      <c r="Q373" s="5">
        <f t="shared" si="39"/>
        <v>2.8332133440562162</v>
      </c>
      <c r="R373" s="5">
        <f t="shared" si="39"/>
        <v>0</v>
      </c>
      <c r="S373" s="5">
        <f t="shared" si="40"/>
        <v>0</v>
      </c>
      <c r="T373" s="3">
        <f t="shared" si="41"/>
        <v>0</v>
      </c>
      <c r="U373" s="3" t="s">
        <v>79</v>
      </c>
      <c r="V373" s="3">
        <v>2</v>
      </c>
      <c r="W373" s="6"/>
      <c r="X373" s="4">
        <v>10</v>
      </c>
      <c r="Y373" s="5">
        <v>0.5</v>
      </c>
      <c r="Z373" s="5">
        <v>1.5</v>
      </c>
      <c r="AA373" s="3" t="s">
        <v>80</v>
      </c>
      <c r="AB373" s="3">
        <v>0</v>
      </c>
      <c r="AC373" s="3" t="s">
        <v>81</v>
      </c>
      <c r="AD373" s="3">
        <v>0</v>
      </c>
      <c r="AE373" s="3" t="s">
        <v>98</v>
      </c>
      <c r="AF373" s="3">
        <v>0</v>
      </c>
      <c r="AG373" s="3" t="s">
        <v>98</v>
      </c>
      <c r="AH373" s="3">
        <v>0</v>
      </c>
      <c r="AI373" s="3">
        <v>2</v>
      </c>
      <c r="AJ373" s="3">
        <v>2</v>
      </c>
      <c r="AK373" s="3">
        <v>1</v>
      </c>
      <c r="AL373" s="3">
        <v>1</v>
      </c>
      <c r="AM373" s="3">
        <v>0</v>
      </c>
      <c r="AN373" s="3">
        <v>1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1</v>
      </c>
      <c r="BG373" s="3">
        <v>1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7" t="s">
        <v>1046</v>
      </c>
      <c r="BX373" s="7" t="s">
        <v>119</v>
      </c>
    </row>
    <row r="374" spans="1:76">
      <c r="A374" s="3" t="s">
        <v>1049</v>
      </c>
      <c r="B374" s="3">
        <v>3867</v>
      </c>
      <c r="C374" s="3" t="s">
        <v>1050</v>
      </c>
      <c r="D374" s="3">
        <v>1</v>
      </c>
      <c r="E374" s="4">
        <v>57</v>
      </c>
      <c r="F374" s="3" t="s">
        <v>78</v>
      </c>
      <c r="G374" s="3">
        <v>0</v>
      </c>
      <c r="H374" s="3">
        <v>1</v>
      </c>
      <c r="I374" s="4">
        <v>0</v>
      </c>
      <c r="J374" s="4">
        <v>1</v>
      </c>
      <c r="K374" s="4">
        <v>1</v>
      </c>
      <c r="L374" s="5">
        <f>IF(F374="F",65.79,IF(F374="M",79.94,""))</f>
        <v>79.94</v>
      </c>
      <c r="M374" s="3">
        <f t="shared" si="35"/>
        <v>0</v>
      </c>
      <c r="N374" s="3" t="str">
        <f t="shared" si="36"/>
        <v>VSC-non-halitosis</v>
      </c>
      <c r="O374" s="3" t="str">
        <f t="shared" si="37"/>
        <v>Clinical- / VSC-</v>
      </c>
      <c r="P374" s="5">
        <f t="shared" si="38"/>
        <v>0</v>
      </c>
      <c r="Q374" s="5">
        <f t="shared" si="39"/>
        <v>0</v>
      </c>
      <c r="R374" s="5">
        <f t="shared" si="39"/>
        <v>0.69314718055994529</v>
      </c>
      <c r="S374" s="5">
        <f t="shared" si="40"/>
        <v>1</v>
      </c>
      <c r="T374" s="3">
        <f t="shared" si="41"/>
        <v>1</v>
      </c>
      <c r="U374" s="3" t="s">
        <v>102</v>
      </c>
      <c r="V374" s="3">
        <v>1</v>
      </c>
      <c r="W374" s="6">
        <v>6.2</v>
      </c>
      <c r="X374" s="4">
        <v>12</v>
      </c>
      <c r="Y374" s="5">
        <v>0.3</v>
      </c>
      <c r="Z374" s="5">
        <v>1.2</v>
      </c>
      <c r="AA374" s="3" t="s">
        <v>80</v>
      </c>
      <c r="AB374" s="3">
        <v>0</v>
      </c>
      <c r="AC374" s="3" t="s">
        <v>138</v>
      </c>
      <c r="AD374" s="3">
        <v>1</v>
      </c>
      <c r="AE374" s="3" t="s">
        <v>82</v>
      </c>
      <c r="AF374" s="3">
        <v>1</v>
      </c>
      <c r="AG374" s="3" t="s">
        <v>82</v>
      </c>
      <c r="AH374" s="3">
        <v>1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7" t="s">
        <v>119</v>
      </c>
      <c r="BX374" s="7" t="s">
        <v>119</v>
      </c>
    </row>
    <row r="375" spans="1:76">
      <c r="A375" s="3" t="s">
        <v>1051</v>
      </c>
      <c r="B375" s="3">
        <v>3870</v>
      </c>
      <c r="C375" s="3" t="s">
        <v>1052</v>
      </c>
      <c r="D375" s="3">
        <v>1</v>
      </c>
      <c r="E375" s="4">
        <v>60</v>
      </c>
      <c r="F375" s="3" t="s">
        <v>87</v>
      </c>
      <c r="G375" s="3">
        <v>1</v>
      </c>
      <c r="H375" s="3">
        <v>0</v>
      </c>
      <c r="I375" s="4">
        <v>0</v>
      </c>
      <c r="J375" s="4">
        <v>1</v>
      </c>
      <c r="K375" s="4">
        <v>1</v>
      </c>
      <c r="L375" s="5">
        <f>IF(F375="F",65.79,IF(F375="M",79.94,""))</f>
        <v>65.790000000000006</v>
      </c>
      <c r="M375" s="3">
        <f t="shared" si="35"/>
        <v>0</v>
      </c>
      <c r="N375" s="3" t="str">
        <f t="shared" si="36"/>
        <v>VSC-non-halitosis</v>
      </c>
      <c r="O375" s="3" t="str">
        <f t="shared" si="37"/>
        <v>Clinical+ / VSC-</v>
      </c>
      <c r="P375" s="5">
        <f t="shared" si="38"/>
        <v>0</v>
      </c>
      <c r="Q375" s="5">
        <f t="shared" si="39"/>
        <v>0</v>
      </c>
      <c r="R375" s="5">
        <f t="shared" si="39"/>
        <v>0.69314718055994529</v>
      </c>
      <c r="S375" s="5">
        <f t="shared" si="40"/>
        <v>1</v>
      </c>
      <c r="T375" s="3">
        <f t="shared" si="41"/>
        <v>1</v>
      </c>
      <c r="U375" s="3" t="s">
        <v>102</v>
      </c>
      <c r="V375" s="3">
        <v>1</v>
      </c>
      <c r="W375" s="6">
        <v>7.6</v>
      </c>
      <c r="X375" s="4">
        <v>11</v>
      </c>
      <c r="Y375" s="5">
        <v>0.5</v>
      </c>
      <c r="Z375" s="5">
        <v>1.5</v>
      </c>
      <c r="AA375" s="3" t="s">
        <v>108</v>
      </c>
      <c r="AB375" s="3">
        <v>1</v>
      </c>
      <c r="AC375" s="3" t="s">
        <v>113</v>
      </c>
      <c r="AD375" s="3">
        <v>0</v>
      </c>
      <c r="AE375" s="3" t="s">
        <v>98</v>
      </c>
      <c r="AF375" s="3">
        <v>0</v>
      </c>
      <c r="AG375" s="3" t="s">
        <v>82</v>
      </c>
      <c r="AH375" s="3">
        <v>1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7" t="s">
        <v>119</v>
      </c>
      <c r="BX375" s="7"/>
    </row>
    <row r="376" spans="1:76">
      <c r="A376" s="3" t="s">
        <v>1053</v>
      </c>
      <c r="B376" s="3">
        <v>6142</v>
      </c>
      <c r="C376" s="3" t="s">
        <v>1054</v>
      </c>
      <c r="D376" s="3">
        <v>1</v>
      </c>
      <c r="E376" s="4">
        <v>37</v>
      </c>
      <c r="F376" s="3" t="s">
        <v>87</v>
      </c>
      <c r="G376" s="3">
        <v>0</v>
      </c>
      <c r="H376" s="3">
        <v>0</v>
      </c>
      <c r="I376" s="4">
        <v>16</v>
      </c>
      <c r="J376" s="4">
        <v>1</v>
      </c>
      <c r="K376" s="4">
        <v>17</v>
      </c>
      <c r="L376" s="5">
        <f>IF(F376="F",65.79,IF(F376="M",79.94,""))</f>
        <v>65.790000000000006</v>
      </c>
      <c r="M376" s="3">
        <f t="shared" si="35"/>
        <v>0</v>
      </c>
      <c r="N376" s="3" t="str">
        <f t="shared" si="36"/>
        <v>VSC-non-halitosis</v>
      </c>
      <c r="O376" s="3" t="str">
        <f t="shared" si="37"/>
        <v>Clinical- / VSC-</v>
      </c>
      <c r="P376" s="5">
        <f t="shared" si="38"/>
        <v>2.8332133440562162</v>
      </c>
      <c r="Q376" s="5">
        <f t="shared" si="39"/>
        <v>2.8332133440562162</v>
      </c>
      <c r="R376" s="5">
        <f t="shared" si="39"/>
        <v>0.69314718055994529</v>
      </c>
      <c r="S376" s="5">
        <f t="shared" si="40"/>
        <v>5.8823529411764705E-2</v>
      </c>
      <c r="T376" s="3">
        <f t="shared" si="41"/>
        <v>0</v>
      </c>
      <c r="U376" s="3" t="s">
        <v>79</v>
      </c>
      <c r="V376" s="3">
        <v>2</v>
      </c>
      <c r="W376" s="6">
        <v>6</v>
      </c>
      <c r="X376" s="4">
        <v>12</v>
      </c>
      <c r="Y376" s="5">
        <v>0.4</v>
      </c>
      <c r="Z376" s="5">
        <v>1.2</v>
      </c>
      <c r="AA376" s="3" t="s">
        <v>80</v>
      </c>
      <c r="AB376" s="3">
        <v>0</v>
      </c>
      <c r="AC376" s="3" t="s">
        <v>81</v>
      </c>
      <c r="AD376" s="3">
        <v>0</v>
      </c>
      <c r="AE376" s="3" t="s">
        <v>98</v>
      </c>
      <c r="AF376" s="3">
        <v>0</v>
      </c>
      <c r="AG376" s="3" t="s">
        <v>98</v>
      </c>
      <c r="AH376" s="3">
        <v>0</v>
      </c>
      <c r="AI376" s="3">
        <v>1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1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7" t="s">
        <v>119</v>
      </c>
      <c r="BX376" s="7" t="s">
        <v>1055</v>
      </c>
    </row>
    <row r="377" spans="1:76">
      <c r="A377" s="3" t="s">
        <v>1056</v>
      </c>
      <c r="B377" s="3">
        <v>4956</v>
      </c>
      <c r="C377" s="3" t="s">
        <v>1057</v>
      </c>
      <c r="D377" s="3">
        <v>1</v>
      </c>
      <c r="E377" s="4">
        <v>59</v>
      </c>
      <c r="F377" s="3" t="s">
        <v>87</v>
      </c>
      <c r="G377" s="3">
        <v>0</v>
      </c>
      <c r="H377" s="3">
        <v>0</v>
      </c>
      <c r="I377" s="4">
        <v>1</v>
      </c>
      <c r="J377" s="4">
        <v>2</v>
      </c>
      <c r="K377" s="4">
        <v>3</v>
      </c>
      <c r="L377" s="5">
        <f>IF(F377="F",65.79,IF(F377="M",79.94,""))</f>
        <v>65.790000000000006</v>
      </c>
      <c r="M377" s="3">
        <f t="shared" si="35"/>
        <v>0</v>
      </c>
      <c r="N377" s="3" t="str">
        <f t="shared" si="36"/>
        <v>VSC-non-halitosis</v>
      </c>
      <c r="O377" s="3" t="str">
        <f t="shared" si="37"/>
        <v>Clinical- / VSC-</v>
      </c>
      <c r="P377" s="5">
        <f t="shared" si="38"/>
        <v>1.0986122886681098</v>
      </c>
      <c r="Q377" s="5">
        <f t="shared" si="39"/>
        <v>0.69314718055994529</v>
      </c>
      <c r="R377" s="5">
        <f t="shared" si="39"/>
        <v>1.0986122886681098</v>
      </c>
      <c r="S377" s="5">
        <f t="shared" si="40"/>
        <v>0.66666666666666663</v>
      </c>
      <c r="T377" s="3">
        <f t="shared" si="41"/>
        <v>1</v>
      </c>
      <c r="U377" s="3" t="s">
        <v>102</v>
      </c>
      <c r="V377" s="3">
        <v>1</v>
      </c>
      <c r="W377" s="6">
        <v>5.8</v>
      </c>
      <c r="X377" s="4">
        <v>10</v>
      </c>
      <c r="Y377" s="5">
        <v>0.01</v>
      </c>
      <c r="Z377" s="5">
        <v>0.8</v>
      </c>
      <c r="AA377" s="3" t="s">
        <v>80</v>
      </c>
      <c r="AB377" s="3">
        <v>0</v>
      </c>
      <c r="AC377" s="3" t="s">
        <v>81</v>
      </c>
      <c r="AD377" s="3">
        <v>0</v>
      </c>
      <c r="AE377" s="3" t="s">
        <v>82</v>
      </c>
      <c r="AF377" s="3">
        <v>1</v>
      </c>
      <c r="AG377" s="3" t="s">
        <v>82</v>
      </c>
      <c r="AH377" s="3">
        <v>1</v>
      </c>
      <c r="AI377" s="3">
        <v>4</v>
      </c>
      <c r="AJ377" s="3">
        <v>1</v>
      </c>
      <c r="AK377" s="3">
        <v>0</v>
      </c>
      <c r="AL377" s="3">
        <v>1</v>
      </c>
      <c r="AM377" s="3">
        <v>0</v>
      </c>
      <c r="AN377" s="3">
        <v>0</v>
      </c>
      <c r="AO377" s="3">
        <v>0</v>
      </c>
      <c r="AP377" s="3">
        <v>0</v>
      </c>
      <c r="AQ377" s="3">
        <v>1</v>
      </c>
      <c r="AR377" s="3">
        <v>0</v>
      </c>
      <c r="AS377" s="3">
        <v>1</v>
      </c>
      <c r="AT377" s="3">
        <v>0</v>
      </c>
      <c r="AU377" s="3">
        <v>1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1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7" t="s">
        <v>1058</v>
      </c>
      <c r="BX377" s="7" t="s">
        <v>80</v>
      </c>
    </row>
    <row r="378" spans="1:76" ht="34">
      <c r="A378" s="3" t="s">
        <v>1059</v>
      </c>
      <c r="B378" s="3">
        <v>3906</v>
      </c>
      <c r="C378" s="3" t="s">
        <v>1060</v>
      </c>
      <c r="D378" s="3">
        <v>1</v>
      </c>
      <c r="E378" s="4">
        <v>75</v>
      </c>
      <c r="F378" s="3" t="s">
        <v>87</v>
      </c>
      <c r="G378" s="3">
        <v>0</v>
      </c>
      <c r="H378" s="3">
        <v>0</v>
      </c>
      <c r="I378" s="4">
        <v>0</v>
      </c>
      <c r="J378" s="4">
        <v>1</v>
      </c>
      <c r="K378" s="4">
        <v>1</v>
      </c>
      <c r="L378" s="5">
        <f>IF(F378="F",65.79,IF(F378="M",79.94,""))</f>
        <v>65.790000000000006</v>
      </c>
      <c r="M378" s="3">
        <f t="shared" si="35"/>
        <v>0</v>
      </c>
      <c r="N378" s="3" t="str">
        <f t="shared" si="36"/>
        <v>VSC-non-halitosis</v>
      </c>
      <c r="O378" s="3" t="str">
        <f t="shared" si="37"/>
        <v>Clinical- / VSC-</v>
      </c>
      <c r="P378" s="5">
        <f t="shared" si="38"/>
        <v>0</v>
      </c>
      <c r="Q378" s="5">
        <f t="shared" si="39"/>
        <v>0</v>
      </c>
      <c r="R378" s="5">
        <f t="shared" si="39"/>
        <v>0.69314718055994529</v>
      </c>
      <c r="S378" s="5">
        <f t="shared" si="40"/>
        <v>1</v>
      </c>
      <c r="T378" s="3">
        <f t="shared" si="41"/>
        <v>1</v>
      </c>
      <c r="U378" s="3" t="s">
        <v>102</v>
      </c>
      <c r="V378" s="3">
        <v>1</v>
      </c>
      <c r="W378" s="6">
        <v>6.4</v>
      </c>
      <c r="X378" s="4">
        <v>8</v>
      </c>
      <c r="Y378" s="5">
        <v>0.4</v>
      </c>
      <c r="Z378" s="5">
        <v>0.2</v>
      </c>
      <c r="AA378" s="3" t="s">
        <v>80</v>
      </c>
      <c r="AB378" s="3">
        <v>0</v>
      </c>
      <c r="AC378" s="3" t="s">
        <v>81</v>
      </c>
      <c r="AD378" s="3">
        <v>0</v>
      </c>
      <c r="AE378" s="3" t="s">
        <v>82</v>
      </c>
      <c r="AF378" s="3">
        <v>1</v>
      </c>
      <c r="AG378" s="3" t="s">
        <v>90</v>
      </c>
      <c r="AH378" s="3">
        <v>1</v>
      </c>
      <c r="AI378" s="3">
        <v>3</v>
      </c>
      <c r="AJ378" s="3">
        <v>3</v>
      </c>
      <c r="AK378" s="3">
        <v>2</v>
      </c>
      <c r="AL378" s="3">
        <v>1</v>
      </c>
      <c r="AM378" s="3">
        <v>0</v>
      </c>
      <c r="AN378" s="3">
        <v>1</v>
      </c>
      <c r="AO378" s="3">
        <v>0</v>
      </c>
      <c r="AP378" s="3">
        <v>0</v>
      </c>
      <c r="AQ378" s="3">
        <v>0</v>
      </c>
      <c r="AR378" s="3">
        <v>0</v>
      </c>
      <c r="AS378" s="3">
        <v>1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1</v>
      </c>
      <c r="BG378" s="3">
        <v>0</v>
      </c>
      <c r="BH378" s="3">
        <v>0</v>
      </c>
      <c r="BI378" s="3">
        <v>0</v>
      </c>
      <c r="BJ378" s="3">
        <v>1</v>
      </c>
      <c r="BK378" s="3">
        <v>0</v>
      </c>
      <c r="BL378" s="3">
        <v>0</v>
      </c>
      <c r="BM378" s="3">
        <v>0</v>
      </c>
      <c r="BN378" s="3">
        <v>1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7" t="s">
        <v>186</v>
      </c>
      <c r="BX378" s="7" t="s">
        <v>1061</v>
      </c>
    </row>
    <row r="379" spans="1:76">
      <c r="A379" s="3" t="s">
        <v>1062</v>
      </c>
      <c r="B379" s="3">
        <v>5537</v>
      </c>
      <c r="C379" s="3" t="s">
        <v>1063</v>
      </c>
      <c r="D379" s="3">
        <v>4</v>
      </c>
      <c r="E379" s="4">
        <v>56</v>
      </c>
      <c r="F379" s="3" t="s">
        <v>87</v>
      </c>
      <c r="G379" s="3">
        <v>1</v>
      </c>
      <c r="H379" s="3">
        <v>0</v>
      </c>
      <c r="I379" s="4">
        <v>16</v>
      </c>
      <c r="J379" s="4">
        <v>0</v>
      </c>
      <c r="K379" s="4">
        <v>16</v>
      </c>
      <c r="L379" s="5">
        <f>IF(F379="F",65.79,IF(F379="M",79.94,""))</f>
        <v>65.790000000000006</v>
      </c>
      <c r="M379" s="3">
        <f t="shared" si="35"/>
        <v>0</v>
      </c>
      <c r="N379" s="3" t="str">
        <f t="shared" si="36"/>
        <v>VSC-non-halitosis</v>
      </c>
      <c r="O379" s="3" t="str">
        <f t="shared" si="37"/>
        <v>Clinical+ / VSC-</v>
      </c>
      <c r="P379" s="5">
        <f t="shared" si="38"/>
        <v>2.7725887222397811</v>
      </c>
      <c r="Q379" s="5">
        <f t="shared" si="39"/>
        <v>2.8332133440562162</v>
      </c>
      <c r="R379" s="5">
        <f t="shared" si="39"/>
        <v>0</v>
      </c>
      <c r="S379" s="5">
        <f t="shared" si="40"/>
        <v>0</v>
      </c>
      <c r="T379" s="3">
        <f t="shared" si="41"/>
        <v>0</v>
      </c>
      <c r="U379" s="3" t="s">
        <v>79</v>
      </c>
      <c r="V379" s="3">
        <v>2</v>
      </c>
      <c r="W379" s="6">
        <v>6.8</v>
      </c>
      <c r="X379" s="4">
        <v>7</v>
      </c>
      <c r="Y379" s="5">
        <v>0.47</v>
      </c>
      <c r="Z379" s="5">
        <v>0.96</v>
      </c>
      <c r="AA379" s="3" t="s">
        <v>80</v>
      </c>
      <c r="AB379" s="3">
        <v>0</v>
      </c>
      <c r="AC379" s="3" t="s">
        <v>81</v>
      </c>
      <c r="AD379" s="3">
        <v>0</v>
      </c>
      <c r="AE379" s="3" t="s">
        <v>98</v>
      </c>
      <c r="AF379" s="3">
        <v>0</v>
      </c>
      <c r="AG379" s="3" t="s">
        <v>82</v>
      </c>
      <c r="AH379" s="3">
        <v>1</v>
      </c>
      <c r="AI379" s="3">
        <v>2</v>
      </c>
      <c r="AJ379" s="3">
        <v>0</v>
      </c>
      <c r="AK379" s="3">
        <v>0</v>
      </c>
      <c r="AL379" s="3">
        <v>1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1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7" t="s">
        <v>1064</v>
      </c>
      <c r="BX379" s="7" t="s">
        <v>119</v>
      </c>
    </row>
    <row r="380" spans="1:76">
      <c r="A380" s="3" t="s">
        <v>1065</v>
      </c>
      <c r="B380" s="3">
        <v>5537</v>
      </c>
      <c r="C380" s="3" t="s">
        <v>1063</v>
      </c>
      <c r="D380" s="3">
        <v>4</v>
      </c>
      <c r="E380" s="4">
        <v>56</v>
      </c>
      <c r="F380" s="3" t="s">
        <v>87</v>
      </c>
      <c r="G380" s="3">
        <v>1</v>
      </c>
      <c r="H380" s="3">
        <v>0</v>
      </c>
      <c r="I380" s="4">
        <v>2</v>
      </c>
      <c r="J380" s="4">
        <v>0</v>
      </c>
      <c r="K380" s="4">
        <v>2</v>
      </c>
      <c r="L380" s="5">
        <f>IF(F380="F",65.79,IF(F380="M",79.94,""))</f>
        <v>65.790000000000006</v>
      </c>
      <c r="M380" s="3">
        <f t="shared" si="35"/>
        <v>0</v>
      </c>
      <c r="N380" s="3" t="str">
        <f t="shared" si="36"/>
        <v>VSC-non-halitosis</v>
      </c>
      <c r="O380" s="3" t="str">
        <f t="shared" si="37"/>
        <v>Clinical+ / VSC-</v>
      </c>
      <c r="P380" s="5">
        <f t="shared" si="38"/>
        <v>0.69314718055994529</v>
      </c>
      <c r="Q380" s="5">
        <f t="shared" si="39"/>
        <v>1.0986122886681098</v>
      </c>
      <c r="R380" s="5">
        <f t="shared" si="39"/>
        <v>0</v>
      </c>
      <c r="S380" s="5">
        <f t="shared" si="40"/>
        <v>0</v>
      </c>
      <c r="T380" s="3">
        <f t="shared" si="41"/>
        <v>0</v>
      </c>
      <c r="U380" s="3" t="s">
        <v>102</v>
      </c>
      <c r="V380" s="3">
        <v>1</v>
      </c>
      <c r="W380" s="6">
        <v>6.8</v>
      </c>
      <c r="X380" s="4">
        <v>7</v>
      </c>
      <c r="Y380" s="5">
        <v>0.47</v>
      </c>
      <c r="Z380" s="5">
        <v>0.96</v>
      </c>
      <c r="AA380" s="3" t="s">
        <v>80</v>
      </c>
      <c r="AB380" s="3">
        <v>0</v>
      </c>
      <c r="AC380" s="3" t="s">
        <v>81</v>
      </c>
      <c r="AD380" s="3">
        <v>0</v>
      </c>
      <c r="AE380" s="3" t="s">
        <v>98</v>
      </c>
      <c r="AF380" s="3">
        <v>0</v>
      </c>
      <c r="AG380" s="3" t="s">
        <v>82</v>
      </c>
      <c r="AH380" s="3">
        <v>1</v>
      </c>
      <c r="AI380" s="3">
        <v>2</v>
      </c>
      <c r="AJ380" s="3">
        <v>0</v>
      </c>
      <c r="AK380" s="3">
        <v>0</v>
      </c>
      <c r="AL380" s="3">
        <v>1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1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7" t="s">
        <v>1064</v>
      </c>
      <c r="BX380" s="7" t="s">
        <v>119</v>
      </c>
    </row>
    <row r="381" spans="1:76">
      <c r="A381" s="3" t="s">
        <v>1066</v>
      </c>
      <c r="B381" s="3">
        <v>5537</v>
      </c>
      <c r="C381" s="3" t="s">
        <v>1063</v>
      </c>
      <c r="D381" s="3">
        <v>4</v>
      </c>
      <c r="E381" s="4">
        <v>56</v>
      </c>
      <c r="F381" s="3" t="s">
        <v>87</v>
      </c>
      <c r="G381" s="3">
        <v>1</v>
      </c>
      <c r="H381" s="3">
        <v>0</v>
      </c>
      <c r="I381" s="4">
        <v>1</v>
      </c>
      <c r="J381" s="4">
        <v>0</v>
      </c>
      <c r="K381" s="4">
        <v>1</v>
      </c>
      <c r="L381" s="5">
        <f>IF(F381="F",65.79,IF(F381="M",79.94,""))</f>
        <v>65.790000000000006</v>
      </c>
      <c r="M381" s="3">
        <f t="shared" si="35"/>
        <v>0</v>
      </c>
      <c r="N381" s="3" t="str">
        <f t="shared" si="36"/>
        <v>VSC-non-halitosis</v>
      </c>
      <c r="O381" s="3" t="str">
        <f t="shared" si="37"/>
        <v>Clinical+ / VSC-</v>
      </c>
      <c r="P381" s="5">
        <f t="shared" si="38"/>
        <v>0</v>
      </c>
      <c r="Q381" s="5">
        <f t="shared" si="39"/>
        <v>0.69314718055994529</v>
      </c>
      <c r="R381" s="5">
        <f t="shared" si="39"/>
        <v>0</v>
      </c>
      <c r="S381" s="5">
        <f t="shared" si="40"/>
        <v>0</v>
      </c>
      <c r="T381" s="3">
        <f t="shared" si="41"/>
        <v>0</v>
      </c>
      <c r="U381" s="3" t="s">
        <v>102</v>
      </c>
      <c r="V381" s="3">
        <v>1</v>
      </c>
      <c r="W381" s="6">
        <v>6.8</v>
      </c>
      <c r="X381" s="4">
        <v>7</v>
      </c>
      <c r="Y381" s="5">
        <v>0.47</v>
      </c>
      <c r="Z381" s="5">
        <v>0.96</v>
      </c>
      <c r="AA381" s="3" t="s">
        <v>80</v>
      </c>
      <c r="AB381" s="3">
        <v>0</v>
      </c>
      <c r="AC381" s="3" t="s">
        <v>81</v>
      </c>
      <c r="AD381" s="3">
        <v>0</v>
      </c>
      <c r="AE381" s="3" t="s">
        <v>98</v>
      </c>
      <c r="AF381" s="3">
        <v>0</v>
      </c>
      <c r="AG381" s="3" t="s">
        <v>82</v>
      </c>
      <c r="AH381" s="3">
        <v>1</v>
      </c>
      <c r="AI381" s="3">
        <v>2</v>
      </c>
      <c r="AJ381" s="3">
        <v>0</v>
      </c>
      <c r="AK381" s="3">
        <v>0</v>
      </c>
      <c r="AL381" s="3">
        <v>1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1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7" t="s">
        <v>1064</v>
      </c>
      <c r="BX381" s="7" t="s">
        <v>119</v>
      </c>
    </row>
    <row r="382" spans="1:76">
      <c r="A382" s="3" t="s">
        <v>1067</v>
      </c>
      <c r="B382" s="3">
        <v>5537</v>
      </c>
      <c r="C382" s="3" t="s">
        <v>1063</v>
      </c>
      <c r="D382" s="3">
        <v>4</v>
      </c>
      <c r="E382" s="4">
        <v>57</v>
      </c>
      <c r="F382" s="3" t="s">
        <v>87</v>
      </c>
      <c r="G382" s="3">
        <v>1</v>
      </c>
      <c r="H382" s="3">
        <v>0</v>
      </c>
      <c r="I382" s="4">
        <v>1</v>
      </c>
      <c r="J382" s="4">
        <v>0</v>
      </c>
      <c r="K382" s="4">
        <v>1</v>
      </c>
      <c r="L382" s="5">
        <f>IF(F382="F",65.79,IF(F382="M",79.94,""))</f>
        <v>65.790000000000006</v>
      </c>
      <c r="M382" s="3">
        <f t="shared" si="35"/>
        <v>0</v>
      </c>
      <c r="N382" s="3" t="str">
        <f t="shared" si="36"/>
        <v>VSC-non-halitosis</v>
      </c>
      <c r="O382" s="3" t="str">
        <f t="shared" si="37"/>
        <v>Clinical+ / VSC-</v>
      </c>
      <c r="P382" s="5">
        <f t="shared" si="38"/>
        <v>0</v>
      </c>
      <c r="Q382" s="5">
        <f t="shared" si="39"/>
        <v>0.69314718055994529</v>
      </c>
      <c r="R382" s="5">
        <f t="shared" si="39"/>
        <v>0</v>
      </c>
      <c r="S382" s="5">
        <f t="shared" si="40"/>
        <v>0</v>
      </c>
      <c r="T382" s="3">
        <f t="shared" si="41"/>
        <v>0</v>
      </c>
      <c r="U382" s="3" t="s">
        <v>102</v>
      </c>
      <c r="V382" s="3">
        <v>1</v>
      </c>
      <c r="W382" s="6">
        <v>6.8</v>
      </c>
      <c r="X382" s="4">
        <v>7</v>
      </c>
      <c r="Y382" s="5">
        <v>0.47</v>
      </c>
      <c r="Z382" s="5">
        <v>0.96</v>
      </c>
      <c r="AA382" s="3" t="s">
        <v>80</v>
      </c>
      <c r="AB382" s="3">
        <v>0</v>
      </c>
      <c r="AC382" s="3" t="s">
        <v>81</v>
      </c>
      <c r="AD382" s="3">
        <v>0</v>
      </c>
      <c r="AE382" s="3" t="s">
        <v>98</v>
      </c>
      <c r="AF382" s="3">
        <v>0</v>
      </c>
      <c r="AG382" s="3" t="s">
        <v>82</v>
      </c>
      <c r="AH382" s="3">
        <v>1</v>
      </c>
      <c r="AI382" s="3">
        <v>2</v>
      </c>
      <c r="AJ382" s="3">
        <v>0</v>
      </c>
      <c r="AK382" s="3">
        <v>0</v>
      </c>
      <c r="AL382" s="3">
        <v>1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1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7" t="s">
        <v>1064</v>
      </c>
      <c r="BX382" s="7" t="s">
        <v>119</v>
      </c>
    </row>
    <row r="383" spans="1:76" ht="34">
      <c r="A383" s="3" t="s">
        <v>1068</v>
      </c>
      <c r="B383" s="3">
        <v>3905</v>
      </c>
      <c r="C383" s="3" t="s">
        <v>1069</v>
      </c>
      <c r="D383" s="3">
        <v>1</v>
      </c>
      <c r="E383" s="4">
        <v>29</v>
      </c>
      <c r="F383" s="3" t="s">
        <v>87</v>
      </c>
      <c r="G383" s="3">
        <v>0</v>
      </c>
      <c r="H383" s="3">
        <v>0</v>
      </c>
      <c r="I383" s="4">
        <v>65</v>
      </c>
      <c r="J383" s="4">
        <v>12</v>
      </c>
      <c r="K383" s="4">
        <v>77</v>
      </c>
      <c r="L383" s="5">
        <f>IF(F383="F",65.79,IF(F383="M",79.94,""))</f>
        <v>65.790000000000006</v>
      </c>
      <c r="M383" s="3">
        <f t="shared" si="35"/>
        <v>1</v>
      </c>
      <c r="N383" s="3" t="str">
        <f t="shared" si="36"/>
        <v>VSC-halitosis</v>
      </c>
      <c r="O383" s="3" t="str">
        <f t="shared" si="37"/>
        <v>Clinical- / VSC+</v>
      </c>
      <c r="P383" s="5">
        <f t="shared" si="38"/>
        <v>4.3438054218536841</v>
      </c>
      <c r="Q383" s="5">
        <f t="shared" si="39"/>
        <v>4.1896547420264252</v>
      </c>
      <c r="R383" s="5">
        <f t="shared" si="39"/>
        <v>2.5649493574615367</v>
      </c>
      <c r="S383" s="5">
        <f t="shared" si="40"/>
        <v>0.15584415584415584</v>
      </c>
      <c r="T383" s="3">
        <f t="shared" si="41"/>
        <v>0</v>
      </c>
      <c r="U383" s="3" t="s">
        <v>96</v>
      </c>
      <c r="V383" s="3">
        <v>3</v>
      </c>
      <c r="W383" s="6">
        <v>7.4</v>
      </c>
      <c r="X383" s="4">
        <v>10</v>
      </c>
      <c r="Y383" s="5">
        <v>0.2</v>
      </c>
      <c r="Z383" s="5">
        <v>1.8</v>
      </c>
      <c r="AA383" s="3" t="s">
        <v>108</v>
      </c>
      <c r="AB383" s="3">
        <v>1</v>
      </c>
      <c r="AC383" s="3" t="s">
        <v>81</v>
      </c>
      <c r="AD383" s="3">
        <v>0</v>
      </c>
      <c r="AE383" s="3" t="s">
        <v>82</v>
      </c>
      <c r="AF383" s="3">
        <v>1</v>
      </c>
      <c r="AG383" s="3" t="s">
        <v>82</v>
      </c>
      <c r="AH383" s="3">
        <v>1</v>
      </c>
      <c r="AI383" s="3">
        <v>2</v>
      </c>
      <c r="AJ383" s="3">
        <v>2</v>
      </c>
      <c r="AK383" s="3">
        <v>2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</v>
      </c>
      <c r="AU383" s="3">
        <v>0</v>
      </c>
      <c r="AV383" s="3">
        <v>1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1</v>
      </c>
      <c r="BS383" s="3">
        <v>0</v>
      </c>
      <c r="BT383" s="3">
        <v>1</v>
      </c>
      <c r="BU383" s="3">
        <v>0</v>
      </c>
      <c r="BV383" s="3">
        <v>0</v>
      </c>
      <c r="BW383" s="7" t="s">
        <v>1070</v>
      </c>
      <c r="BX383" s="7" t="s">
        <v>1071</v>
      </c>
    </row>
    <row r="384" spans="1:76">
      <c r="A384" s="3" t="s">
        <v>1072</v>
      </c>
      <c r="B384" s="3">
        <v>3911</v>
      </c>
      <c r="C384" s="3" t="s">
        <v>1073</v>
      </c>
      <c r="D384" s="3">
        <v>3</v>
      </c>
      <c r="E384" s="4">
        <v>49</v>
      </c>
      <c r="F384" s="3" t="s">
        <v>87</v>
      </c>
      <c r="G384" s="3">
        <v>1</v>
      </c>
      <c r="H384" s="3">
        <v>0</v>
      </c>
      <c r="I384" s="4">
        <v>1</v>
      </c>
      <c r="J384" s="4">
        <v>0</v>
      </c>
      <c r="K384" s="4">
        <v>1</v>
      </c>
      <c r="L384" s="5">
        <f>IF(F384="F",65.79,IF(F384="M",79.94,""))</f>
        <v>65.790000000000006</v>
      </c>
      <c r="M384" s="3">
        <f t="shared" si="35"/>
        <v>0</v>
      </c>
      <c r="N384" s="3" t="str">
        <f t="shared" si="36"/>
        <v>VSC-non-halitosis</v>
      </c>
      <c r="O384" s="3" t="str">
        <f t="shared" si="37"/>
        <v>Clinical+ / VSC-</v>
      </c>
      <c r="P384" s="5">
        <f t="shared" si="38"/>
        <v>0</v>
      </c>
      <c r="Q384" s="5">
        <f t="shared" si="39"/>
        <v>0.69314718055994529</v>
      </c>
      <c r="R384" s="5">
        <f t="shared" si="39"/>
        <v>0</v>
      </c>
      <c r="S384" s="5">
        <f t="shared" si="40"/>
        <v>0</v>
      </c>
      <c r="T384" s="3">
        <f t="shared" si="41"/>
        <v>0</v>
      </c>
      <c r="U384" s="3" t="s">
        <v>102</v>
      </c>
      <c r="V384" s="3">
        <v>1</v>
      </c>
      <c r="W384" s="6">
        <v>7.2</v>
      </c>
      <c r="X384" s="4">
        <v>10</v>
      </c>
      <c r="Y384" s="5">
        <v>0.5</v>
      </c>
      <c r="Z384" s="5">
        <v>1.1000000000000001</v>
      </c>
      <c r="AA384" s="3" t="s">
        <v>80</v>
      </c>
      <c r="AB384" s="3">
        <v>0</v>
      </c>
      <c r="AC384" s="3" t="s">
        <v>113</v>
      </c>
      <c r="AD384" s="3">
        <v>0</v>
      </c>
      <c r="AE384" s="3" t="s">
        <v>98</v>
      </c>
      <c r="AF384" s="3">
        <v>0</v>
      </c>
      <c r="AG384" s="3" t="s">
        <v>98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7" t="s">
        <v>119</v>
      </c>
      <c r="BX384" s="7" t="s">
        <v>1074</v>
      </c>
    </row>
    <row r="385" spans="1:76">
      <c r="A385" s="3" t="s">
        <v>1075</v>
      </c>
      <c r="B385" s="3">
        <v>3911</v>
      </c>
      <c r="C385" s="3" t="s">
        <v>1073</v>
      </c>
      <c r="D385" s="3">
        <v>3</v>
      </c>
      <c r="E385" s="4">
        <v>49</v>
      </c>
      <c r="F385" s="3" t="s">
        <v>87</v>
      </c>
      <c r="G385" s="3">
        <v>1</v>
      </c>
      <c r="H385" s="3">
        <v>0</v>
      </c>
      <c r="I385" s="4">
        <v>0</v>
      </c>
      <c r="J385" s="4">
        <v>1</v>
      </c>
      <c r="K385" s="4">
        <v>1</v>
      </c>
      <c r="L385" s="5">
        <f>IF(F385="F",65.79,IF(F385="M",79.94,""))</f>
        <v>65.790000000000006</v>
      </c>
      <c r="M385" s="3">
        <f t="shared" si="35"/>
        <v>0</v>
      </c>
      <c r="N385" s="3" t="str">
        <f t="shared" si="36"/>
        <v>VSC-non-halitosis</v>
      </c>
      <c r="O385" s="3" t="str">
        <f t="shared" si="37"/>
        <v>Clinical+ / VSC-</v>
      </c>
      <c r="P385" s="5">
        <f t="shared" si="38"/>
        <v>0</v>
      </c>
      <c r="Q385" s="5">
        <f t="shared" si="39"/>
        <v>0</v>
      </c>
      <c r="R385" s="5">
        <f t="shared" si="39"/>
        <v>0.69314718055994529</v>
      </c>
      <c r="S385" s="5">
        <f t="shared" si="40"/>
        <v>1</v>
      </c>
      <c r="T385" s="3">
        <f t="shared" si="41"/>
        <v>1</v>
      </c>
      <c r="U385" s="3" t="s">
        <v>102</v>
      </c>
      <c r="V385" s="3">
        <v>1</v>
      </c>
      <c r="W385" s="6">
        <v>7.2</v>
      </c>
      <c r="X385" s="4">
        <v>10</v>
      </c>
      <c r="Y385" s="5">
        <v>0.5</v>
      </c>
      <c r="Z385" s="5">
        <v>1.1000000000000001</v>
      </c>
      <c r="AA385" s="3" t="s">
        <v>80</v>
      </c>
      <c r="AB385" s="3">
        <v>0</v>
      </c>
      <c r="AC385" s="3" t="s">
        <v>113</v>
      </c>
      <c r="AD385" s="3">
        <v>0</v>
      </c>
      <c r="AE385" s="3" t="s">
        <v>98</v>
      </c>
      <c r="AF385" s="3">
        <v>0</v>
      </c>
      <c r="AG385" s="3" t="s">
        <v>98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7" t="s">
        <v>119</v>
      </c>
      <c r="BX385" s="7" t="s">
        <v>1074</v>
      </c>
    </row>
    <row r="386" spans="1:76">
      <c r="A386" s="3" t="s">
        <v>1076</v>
      </c>
      <c r="B386" s="3">
        <v>3911</v>
      </c>
      <c r="C386" s="3" t="s">
        <v>1073</v>
      </c>
      <c r="D386" s="3">
        <v>3</v>
      </c>
      <c r="E386" s="4">
        <v>49</v>
      </c>
      <c r="F386" s="3" t="s">
        <v>87</v>
      </c>
      <c r="G386" s="3">
        <v>1</v>
      </c>
      <c r="H386" s="3">
        <v>0</v>
      </c>
      <c r="I386" s="4">
        <v>0</v>
      </c>
      <c r="J386" s="4">
        <v>1</v>
      </c>
      <c r="K386" s="4">
        <v>1</v>
      </c>
      <c r="L386" s="5">
        <f>IF(F386="F",65.79,IF(F386="M",79.94,""))</f>
        <v>65.790000000000006</v>
      </c>
      <c r="M386" s="3">
        <f t="shared" ref="M386:M449" si="42">IF(AND(ISNUMBER(K386),ISNUMBER(L386),K386&gt;=L386),1,0)</f>
        <v>0</v>
      </c>
      <c r="N386" s="3" t="str">
        <f t="shared" ref="N386:N449" si="43">IF(M386=1,"VSC-halitosis","VSC-non-halitosis")</f>
        <v>VSC-non-halitosis</v>
      </c>
      <c r="O386" s="3" t="str">
        <f t="shared" ref="O386:O449" si="44">IF(AND(G386=1,M386=1),"Clinical+ / VSC+",IF(AND(G386=1,M386=0),"Clinical+ / VSC-",IF(AND(G386=0,M386=1),"Clinical- / VSC+","Clinical- / VSC-")))</f>
        <v>Clinical+ / VSC-</v>
      </c>
      <c r="P386" s="5">
        <f t="shared" ref="P386:P449" si="45">IF(K386&gt;0,LN(K386),"")</f>
        <v>0</v>
      </c>
      <c r="Q386" s="5">
        <f t="shared" ref="Q386:R449" si="46">IF(ISNUMBER(I386),LN(I386+1),"")</f>
        <v>0</v>
      </c>
      <c r="R386" s="5">
        <f t="shared" si="46"/>
        <v>0.69314718055994529</v>
      </c>
      <c r="S386" s="5">
        <f t="shared" ref="S386:S449" si="47">IF(K386&gt;0,J386/K386,"")</f>
        <v>1</v>
      </c>
      <c r="T386" s="3">
        <f t="shared" ref="T386:T449" si="48">IF(J386&gt;I386,1,0)</f>
        <v>1</v>
      </c>
      <c r="U386" s="3" t="s">
        <v>102</v>
      </c>
      <c r="V386" s="3">
        <v>1</v>
      </c>
      <c r="W386" s="6">
        <v>7.2</v>
      </c>
      <c r="X386" s="4">
        <v>10</v>
      </c>
      <c r="Y386" s="5">
        <v>0.5</v>
      </c>
      <c r="Z386" s="5">
        <v>1.1000000000000001</v>
      </c>
      <c r="AA386" s="3" t="s">
        <v>80</v>
      </c>
      <c r="AB386" s="3">
        <v>0</v>
      </c>
      <c r="AC386" s="3" t="s">
        <v>113</v>
      </c>
      <c r="AD386" s="3">
        <v>0</v>
      </c>
      <c r="AE386" s="3" t="s">
        <v>98</v>
      </c>
      <c r="AF386" s="3">
        <v>0</v>
      </c>
      <c r="AG386" s="3" t="s">
        <v>98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7" t="s">
        <v>119</v>
      </c>
      <c r="BX386" s="7" t="s">
        <v>1074</v>
      </c>
    </row>
    <row r="387" spans="1:76">
      <c r="A387" s="3" t="s">
        <v>1077</v>
      </c>
      <c r="B387" s="3">
        <v>3922</v>
      </c>
      <c r="C387" s="3" t="s">
        <v>1078</v>
      </c>
      <c r="D387" s="3">
        <v>1</v>
      </c>
      <c r="E387" s="4">
        <v>88</v>
      </c>
      <c r="F387" s="3" t="s">
        <v>87</v>
      </c>
      <c r="G387" s="3">
        <v>0</v>
      </c>
      <c r="H387" s="3">
        <v>0</v>
      </c>
      <c r="I387" s="4">
        <v>46</v>
      </c>
      <c r="J387" s="4">
        <v>109</v>
      </c>
      <c r="K387" s="4">
        <v>155</v>
      </c>
      <c r="L387" s="5">
        <f>IF(F387="F",65.79,IF(F387="M",79.94,""))</f>
        <v>65.790000000000006</v>
      </c>
      <c r="M387" s="3">
        <f t="shared" si="42"/>
        <v>1</v>
      </c>
      <c r="N387" s="3" t="str">
        <f t="shared" si="43"/>
        <v>VSC-halitosis</v>
      </c>
      <c r="O387" s="3" t="str">
        <f t="shared" si="44"/>
        <v>Clinical- / VSC+</v>
      </c>
      <c r="P387" s="5">
        <f t="shared" si="45"/>
        <v>5.0434251169192468</v>
      </c>
      <c r="Q387" s="5">
        <f t="shared" si="46"/>
        <v>3.8501476017100584</v>
      </c>
      <c r="R387" s="5">
        <f t="shared" si="46"/>
        <v>4.7004803657924166</v>
      </c>
      <c r="S387" s="5">
        <f t="shared" si="47"/>
        <v>0.70322580645161292</v>
      </c>
      <c r="T387" s="3">
        <f t="shared" si="48"/>
        <v>1</v>
      </c>
      <c r="U387" s="3" t="s">
        <v>96</v>
      </c>
      <c r="V387" s="3">
        <v>3</v>
      </c>
      <c r="W387" s="6">
        <v>6.8</v>
      </c>
      <c r="X387" s="4">
        <v>10</v>
      </c>
      <c r="Y387" s="5">
        <v>0.25</v>
      </c>
      <c r="Z387" s="5">
        <v>1</v>
      </c>
      <c r="AA387" s="3" t="s">
        <v>80</v>
      </c>
      <c r="AB387" s="3">
        <v>0</v>
      </c>
      <c r="AC387" s="3" t="s">
        <v>81</v>
      </c>
      <c r="AD387" s="3">
        <v>0</v>
      </c>
      <c r="AE387" s="3" t="s">
        <v>98</v>
      </c>
      <c r="AF387" s="3">
        <v>0</v>
      </c>
      <c r="AG387" s="3" t="s">
        <v>82</v>
      </c>
      <c r="AH387" s="3">
        <v>1</v>
      </c>
      <c r="AI387" s="3">
        <v>2</v>
      </c>
      <c r="AJ387" s="3">
        <v>2</v>
      </c>
      <c r="AK387" s="3">
        <v>0</v>
      </c>
      <c r="AL387" s="3">
        <v>1</v>
      </c>
      <c r="AM387" s="3">
        <v>0</v>
      </c>
      <c r="AN387" s="3">
        <v>1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1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1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7" t="s">
        <v>465</v>
      </c>
      <c r="BX387" s="7" t="s">
        <v>397</v>
      </c>
    </row>
    <row r="388" spans="1:76">
      <c r="A388" s="3" t="s">
        <v>1079</v>
      </c>
      <c r="B388" s="3">
        <v>3924</v>
      </c>
      <c r="C388" s="3" t="s">
        <v>1080</v>
      </c>
      <c r="D388" s="3">
        <v>1</v>
      </c>
      <c r="E388" s="4">
        <v>40</v>
      </c>
      <c r="F388" s="3" t="s">
        <v>87</v>
      </c>
      <c r="G388" s="3">
        <v>0</v>
      </c>
      <c r="H388" s="3">
        <v>0</v>
      </c>
      <c r="I388" s="4">
        <v>529</v>
      </c>
      <c r="J388" s="4">
        <v>124</v>
      </c>
      <c r="K388" s="4">
        <v>653</v>
      </c>
      <c r="L388" s="5">
        <f>IF(F388="F",65.79,IF(F388="M",79.94,""))</f>
        <v>65.790000000000006</v>
      </c>
      <c r="M388" s="3">
        <f t="shared" si="42"/>
        <v>1</v>
      </c>
      <c r="N388" s="3" t="str">
        <f t="shared" si="43"/>
        <v>VSC-halitosis</v>
      </c>
      <c r="O388" s="3" t="str">
        <f t="shared" si="44"/>
        <v>Clinical- / VSC+</v>
      </c>
      <c r="P388" s="5">
        <f t="shared" si="45"/>
        <v>6.481577129276431</v>
      </c>
      <c r="Q388" s="5">
        <f t="shared" si="46"/>
        <v>6.2728770065461674</v>
      </c>
      <c r="R388" s="5">
        <f t="shared" si="46"/>
        <v>4.8283137373023015</v>
      </c>
      <c r="S388" s="5">
        <f t="shared" si="47"/>
        <v>0.18989280245022971</v>
      </c>
      <c r="T388" s="3">
        <f t="shared" si="48"/>
        <v>0</v>
      </c>
      <c r="U388" s="3" t="s">
        <v>96</v>
      </c>
      <c r="V388" s="3">
        <v>3</v>
      </c>
      <c r="W388" s="6">
        <v>6.4</v>
      </c>
      <c r="X388" s="4">
        <v>12</v>
      </c>
      <c r="Y388" s="5">
        <v>0.8</v>
      </c>
      <c r="Z388" s="5">
        <v>2.2000000000000002</v>
      </c>
      <c r="AA388" s="3" t="s">
        <v>80</v>
      </c>
      <c r="AB388" s="3">
        <v>0</v>
      </c>
      <c r="AC388" s="3" t="s">
        <v>81</v>
      </c>
      <c r="AD388" s="3">
        <v>0</v>
      </c>
      <c r="AE388" s="3" t="s">
        <v>82</v>
      </c>
      <c r="AF388" s="3">
        <v>1</v>
      </c>
      <c r="AG388" s="3" t="s">
        <v>82</v>
      </c>
      <c r="AH388" s="3">
        <v>1</v>
      </c>
      <c r="AI388" s="3">
        <v>4</v>
      </c>
      <c r="AJ388" s="3">
        <v>4</v>
      </c>
      <c r="AK388" s="3">
        <v>1</v>
      </c>
      <c r="AL388" s="3">
        <v>1</v>
      </c>
      <c r="AM388" s="3">
        <v>1</v>
      </c>
      <c r="AN388" s="3">
        <v>1</v>
      </c>
      <c r="AO388" s="3">
        <v>1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1</v>
      </c>
      <c r="BG388" s="3">
        <v>1</v>
      </c>
      <c r="BH388" s="3">
        <v>0</v>
      </c>
      <c r="BI388" s="3">
        <v>0</v>
      </c>
      <c r="BJ388" s="3">
        <v>0</v>
      </c>
      <c r="BK388" s="3">
        <v>1</v>
      </c>
      <c r="BL388" s="3">
        <v>0</v>
      </c>
      <c r="BM388" s="3">
        <v>0</v>
      </c>
      <c r="BN388" s="3">
        <v>0</v>
      </c>
      <c r="BO388" s="3">
        <v>1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7" t="s">
        <v>1081</v>
      </c>
      <c r="BX388" s="7" t="s">
        <v>1082</v>
      </c>
    </row>
    <row r="389" spans="1:76">
      <c r="A389" s="3" t="s">
        <v>1083</v>
      </c>
      <c r="B389" s="3">
        <v>4776</v>
      </c>
      <c r="C389" s="3" t="s">
        <v>1084</v>
      </c>
      <c r="D389" s="3">
        <v>1</v>
      </c>
      <c r="E389" s="4">
        <v>76</v>
      </c>
      <c r="F389" s="3" t="s">
        <v>87</v>
      </c>
      <c r="G389" s="3">
        <v>0</v>
      </c>
      <c r="H389" s="3">
        <v>0</v>
      </c>
      <c r="I389" s="4">
        <v>0</v>
      </c>
      <c r="J389" s="4">
        <v>5</v>
      </c>
      <c r="K389" s="4">
        <v>5</v>
      </c>
      <c r="L389" s="5">
        <f>IF(F389="F",65.79,IF(F389="M",79.94,""))</f>
        <v>65.790000000000006</v>
      </c>
      <c r="M389" s="3">
        <f t="shared" si="42"/>
        <v>0</v>
      </c>
      <c r="N389" s="3" t="str">
        <f t="shared" si="43"/>
        <v>VSC-non-halitosis</v>
      </c>
      <c r="O389" s="3" t="str">
        <f t="shared" si="44"/>
        <v>Clinical- / VSC-</v>
      </c>
      <c r="P389" s="5">
        <f t="shared" si="45"/>
        <v>1.6094379124341003</v>
      </c>
      <c r="Q389" s="5">
        <f t="shared" si="46"/>
        <v>0</v>
      </c>
      <c r="R389" s="5">
        <f t="shared" si="46"/>
        <v>1.791759469228055</v>
      </c>
      <c r="S389" s="5">
        <f t="shared" si="47"/>
        <v>1</v>
      </c>
      <c r="T389" s="3">
        <f t="shared" si="48"/>
        <v>1</v>
      </c>
      <c r="U389" s="3" t="s">
        <v>79</v>
      </c>
      <c r="V389" s="3">
        <v>2</v>
      </c>
      <c r="W389" s="6"/>
      <c r="X389" s="4">
        <v>12</v>
      </c>
      <c r="Y389" s="5">
        <v>0.3</v>
      </c>
      <c r="Z389" s="5">
        <v>0.7</v>
      </c>
      <c r="AA389" s="3" t="s">
        <v>80</v>
      </c>
      <c r="AB389" s="3">
        <v>0</v>
      </c>
      <c r="AC389" s="3" t="s">
        <v>81</v>
      </c>
      <c r="AD389" s="3">
        <v>0</v>
      </c>
      <c r="AE389" s="3" t="s">
        <v>82</v>
      </c>
      <c r="AF389" s="3">
        <v>1</v>
      </c>
      <c r="AG389" s="3" t="s">
        <v>82</v>
      </c>
      <c r="AH389" s="3">
        <v>1</v>
      </c>
      <c r="AI389" s="3">
        <v>2</v>
      </c>
      <c r="AJ389" s="3">
        <v>1</v>
      </c>
      <c r="AK389" s="3">
        <v>0</v>
      </c>
      <c r="AL389" s="3">
        <v>1</v>
      </c>
      <c r="AM389" s="3">
        <v>0</v>
      </c>
      <c r="AN389" s="3">
        <v>0</v>
      </c>
      <c r="AO389" s="3">
        <v>0</v>
      </c>
      <c r="AP389" s="3">
        <v>0</v>
      </c>
      <c r="AQ389" s="3">
        <v>1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1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7" t="s">
        <v>186</v>
      </c>
      <c r="BX389" s="7" t="s">
        <v>1085</v>
      </c>
    </row>
    <row r="390" spans="1:76">
      <c r="A390" s="3" t="s">
        <v>1086</v>
      </c>
      <c r="B390" s="3">
        <v>3991</v>
      </c>
      <c r="C390" s="3" t="s">
        <v>1087</v>
      </c>
      <c r="D390" s="3">
        <v>8</v>
      </c>
      <c r="E390" s="4">
        <v>49</v>
      </c>
      <c r="F390" s="3" t="s">
        <v>78</v>
      </c>
      <c r="G390" s="3">
        <v>0</v>
      </c>
      <c r="H390" s="3">
        <v>0</v>
      </c>
      <c r="I390" s="4">
        <v>60</v>
      </c>
      <c r="J390" s="4">
        <v>15</v>
      </c>
      <c r="K390" s="4">
        <v>75</v>
      </c>
      <c r="L390" s="5">
        <f>IF(F390="F",65.79,IF(F390="M",79.94,""))</f>
        <v>79.94</v>
      </c>
      <c r="M390" s="3">
        <f t="shared" si="42"/>
        <v>0</v>
      </c>
      <c r="N390" s="3" t="str">
        <f t="shared" si="43"/>
        <v>VSC-non-halitosis</v>
      </c>
      <c r="O390" s="3" t="str">
        <f t="shared" si="44"/>
        <v>Clinical- / VSC-</v>
      </c>
      <c r="P390" s="5">
        <f t="shared" si="45"/>
        <v>4.3174881135363101</v>
      </c>
      <c r="Q390" s="5">
        <f t="shared" si="46"/>
        <v>4.1108738641733114</v>
      </c>
      <c r="R390" s="5">
        <f t="shared" si="46"/>
        <v>2.7725887222397811</v>
      </c>
      <c r="S390" s="5">
        <f t="shared" si="47"/>
        <v>0.2</v>
      </c>
      <c r="T390" s="3">
        <f t="shared" si="48"/>
        <v>0</v>
      </c>
      <c r="U390" s="3" t="s">
        <v>96</v>
      </c>
      <c r="V390" s="3">
        <v>3</v>
      </c>
      <c r="W390" s="6">
        <v>7.6</v>
      </c>
      <c r="X390" s="4">
        <v>10</v>
      </c>
      <c r="Y390" s="5">
        <v>0.7</v>
      </c>
      <c r="Z390" s="5">
        <v>2.2000000000000002</v>
      </c>
      <c r="AA390" s="3" t="s">
        <v>80</v>
      </c>
      <c r="AB390" s="3">
        <v>0</v>
      </c>
      <c r="AC390" s="3" t="s">
        <v>81</v>
      </c>
      <c r="AD390" s="3">
        <v>0</v>
      </c>
      <c r="AE390" s="3" t="s">
        <v>98</v>
      </c>
      <c r="AF390" s="3">
        <v>0</v>
      </c>
      <c r="AG390" s="3" t="s">
        <v>82</v>
      </c>
      <c r="AH390" s="3">
        <v>1</v>
      </c>
      <c r="AI390" s="3">
        <v>2</v>
      </c>
      <c r="AJ390" s="3">
        <v>1</v>
      </c>
      <c r="AK390" s="3">
        <v>0</v>
      </c>
      <c r="AL390" s="3">
        <v>0</v>
      </c>
      <c r="AM390" s="3">
        <v>0</v>
      </c>
      <c r="AN390" s="3">
        <v>1</v>
      </c>
      <c r="AO390" s="3">
        <v>1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1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7" t="s">
        <v>1088</v>
      </c>
      <c r="BX390" s="7" t="s">
        <v>1089</v>
      </c>
    </row>
    <row r="391" spans="1:76" ht="34">
      <c r="A391" s="3" t="s">
        <v>1090</v>
      </c>
      <c r="B391" s="3">
        <v>5198</v>
      </c>
      <c r="C391" s="3" t="s">
        <v>1087</v>
      </c>
      <c r="D391" s="3">
        <v>8</v>
      </c>
      <c r="E391" s="4">
        <v>49</v>
      </c>
      <c r="F391" s="3" t="s">
        <v>78</v>
      </c>
      <c r="G391" s="3">
        <v>0</v>
      </c>
      <c r="H391" s="3">
        <v>0</v>
      </c>
      <c r="I391" s="4">
        <v>60</v>
      </c>
      <c r="J391" s="4">
        <v>15</v>
      </c>
      <c r="K391" s="4">
        <v>75</v>
      </c>
      <c r="L391" s="5">
        <f>IF(F391="F",65.79,IF(F391="M",79.94,""))</f>
        <v>79.94</v>
      </c>
      <c r="M391" s="3">
        <f t="shared" si="42"/>
        <v>0</v>
      </c>
      <c r="N391" s="3" t="str">
        <f t="shared" si="43"/>
        <v>VSC-non-halitosis</v>
      </c>
      <c r="O391" s="3" t="str">
        <f t="shared" si="44"/>
        <v>Clinical- / VSC-</v>
      </c>
      <c r="P391" s="5">
        <f t="shared" si="45"/>
        <v>4.3174881135363101</v>
      </c>
      <c r="Q391" s="5">
        <f t="shared" si="46"/>
        <v>4.1108738641733114</v>
      </c>
      <c r="R391" s="5">
        <f t="shared" si="46"/>
        <v>2.7725887222397811</v>
      </c>
      <c r="S391" s="5">
        <f t="shared" si="47"/>
        <v>0.2</v>
      </c>
      <c r="T391" s="3">
        <f t="shared" si="48"/>
        <v>0</v>
      </c>
      <c r="U391" s="3" t="s">
        <v>96</v>
      </c>
      <c r="V391" s="3">
        <v>3</v>
      </c>
      <c r="W391" s="6">
        <v>7.6</v>
      </c>
      <c r="X391" s="4">
        <v>10</v>
      </c>
      <c r="Y391" s="5">
        <v>0.7</v>
      </c>
      <c r="Z391" s="5">
        <v>2.2000000000000002</v>
      </c>
      <c r="AA391" s="3" t="s">
        <v>208</v>
      </c>
      <c r="AB391" s="3">
        <v>1</v>
      </c>
      <c r="AC391" s="3" t="s">
        <v>81</v>
      </c>
      <c r="AD391" s="3">
        <v>0</v>
      </c>
      <c r="AE391" s="3" t="s">
        <v>98</v>
      </c>
      <c r="AF391" s="3">
        <v>0</v>
      </c>
      <c r="AG391" s="3" t="s">
        <v>82</v>
      </c>
      <c r="AH391" s="3">
        <v>1</v>
      </c>
      <c r="AI391" s="3">
        <v>2</v>
      </c>
      <c r="AJ391" s="3">
        <v>1</v>
      </c>
      <c r="AK391" s="3">
        <v>0</v>
      </c>
      <c r="AL391" s="3">
        <v>0</v>
      </c>
      <c r="AM391" s="3">
        <v>0</v>
      </c>
      <c r="AN391" s="3">
        <v>1</v>
      </c>
      <c r="AO391" s="3">
        <v>1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1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7" t="s">
        <v>1091</v>
      </c>
      <c r="BX391" s="7" t="s">
        <v>1092</v>
      </c>
    </row>
    <row r="392" spans="1:76">
      <c r="A392" s="3" t="s">
        <v>1093</v>
      </c>
      <c r="B392" s="3">
        <v>3991</v>
      </c>
      <c r="C392" s="3" t="s">
        <v>1087</v>
      </c>
      <c r="D392" s="3">
        <v>8</v>
      </c>
      <c r="E392" s="4">
        <v>49</v>
      </c>
      <c r="F392" s="3" t="s">
        <v>78</v>
      </c>
      <c r="G392" s="3">
        <v>0</v>
      </c>
      <c r="H392" s="3">
        <v>0</v>
      </c>
      <c r="I392" s="4">
        <v>60</v>
      </c>
      <c r="J392" s="4">
        <v>15</v>
      </c>
      <c r="K392" s="4">
        <v>75</v>
      </c>
      <c r="L392" s="5">
        <f>IF(F392="F",65.79,IF(F392="M",79.94,""))</f>
        <v>79.94</v>
      </c>
      <c r="M392" s="3">
        <f t="shared" si="42"/>
        <v>0</v>
      </c>
      <c r="N392" s="3" t="str">
        <f t="shared" si="43"/>
        <v>VSC-non-halitosis</v>
      </c>
      <c r="O392" s="3" t="str">
        <f t="shared" si="44"/>
        <v>Clinical- / VSC-</v>
      </c>
      <c r="P392" s="5">
        <f t="shared" si="45"/>
        <v>4.3174881135363101</v>
      </c>
      <c r="Q392" s="5">
        <f t="shared" si="46"/>
        <v>4.1108738641733114</v>
      </c>
      <c r="R392" s="5">
        <f t="shared" si="46"/>
        <v>2.7725887222397811</v>
      </c>
      <c r="S392" s="5">
        <f t="shared" si="47"/>
        <v>0.2</v>
      </c>
      <c r="T392" s="3">
        <f t="shared" si="48"/>
        <v>0</v>
      </c>
      <c r="U392" s="3" t="s">
        <v>96</v>
      </c>
      <c r="V392" s="3">
        <v>3</v>
      </c>
      <c r="W392" s="6">
        <v>7.4</v>
      </c>
      <c r="X392" s="4">
        <v>9</v>
      </c>
      <c r="Y392" s="5">
        <v>0.7</v>
      </c>
      <c r="Z392" s="5">
        <v>2</v>
      </c>
      <c r="AA392" s="3" t="s">
        <v>80</v>
      </c>
      <c r="AB392" s="3">
        <v>0</v>
      </c>
      <c r="AC392" s="3" t="s">
        <v>81</v>
      </c>
      <c r="AD392" s="3">
        <v>0</v>
      </c>
      <c r="AE392" s="3" t="s">
        <v>98</v>
      </c>
      <c r="AF392" s="3">
        <v>0</v>
      </c>
      <c r="AG392" s="3" t="s">
        <v>82</v>
      </c>
      <c r="AH392" s="3">
        <v>1</v>
      </c>
      <c r="AI392" s="3">
        <v>2</v>
      </c>
      <c r="AJ392" s="3">
        <v>1</v>
      </c>
      <c r="AK392" s="3">
        <v>0</v>
      </c>
      <c r="AL392" s="3">
        <v>0</v>
      </c>
      <c r="AM392" s="3">
        <v>0</v>
      </c>
      <c r="AN392" s="3">
        <v>1</v>
      </c>
      <c r="AO392" s="3">
        <v>1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1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7" t="s">
        <v>1088</v>
      </c>
      <c r="BX392" s="7" t="s">
        <v>1089</v>
      </c>
    </row>
    <row r="393" spans="1:76" ht="34">
      <c r="A393" s="3" t="s">
        <v>1094</v>
      </c>
      <c r="B393" s="3">
        <v>5198</v>
      </c>
      <c r="C393" s="3" t="s">
        <v>1087</v>
      </c>
      <c r="D393" s="3">
        <v>8</v>
      </c>
      <c r="E393" s="4">
        <v>49</v>
      </c>
      <c r="F393" s="3" t="s">
        <v>78</v>
      </c>
      <c r="G393" s="3">
        <v>0</v>
      </c>
      <c r="H393" s="3">
        <v>0</v>
      </c>
      <c r="I393" s="4">
        <v>60</v>
      </c>
      <c r="J393" s="4">
        <v>15</v>
      </c>
      <c r="K393" s="4">
        <v>75</v>
      </c>
      <c r="L393" s="5">
        <f>IF(F393="F",65.79,IF(F393="M",79.94,""))</f>
        <v>79.94</v>
      </c>
      <c r="M393" s="3">
        <f t="shared" si="42"/>
        <v>0</v>
      </c>
      <c r="N393" s="3" t="str">
        <f t="shared" si="43"/>
        <v>VSC-non-halitosis</v>
      </c>
      <c r="O393" s="3" t="str">
        <f t="shared" si="44"/>
        <v>Clinical- / VSC-</v>
      </c>
      <c r="P393" s="5">
        <f t="shared" si="45"/>
        <v>4.3174881135363101</v>
      </c>
      <c r="Q393" s="5">
        <f t="shared" si="46"/>
        <v>4.1108738641733114</v>
      </c>
      <c r="R393" s="5">
        <f t="shared" si="46"/>
        <v>2.7725887222397811</v>
      </c>
      <c r="S393" s="5">
        <f t="shared" si="47"/>
        <v>0.2</v>
      </c>
      <c r="T393" s="3">
        <f t="shared" si="48"/>
        <v>0</v>
      </c>
      <c r="U393" s="3" t="s">
        <v>96</v>
      </c>
      <c r="V393" s="3">
        <v>3</v>
      </c>
      <c r="W393" s="6">
        <v>7.4</v>
      </c>
      <c r="X393" s="4">
        <v>9</v>
      </c>
      <c r="Y393" s="5">
        <v>0.7</v>
      </c>
      <c r="Z393" s="5">
        <v>2</v>
      </c>
      <c r="AA393" s="3" t="s">
        <v>208</v>
      </c>
      <c r="AB393" s="3">
        <v>1</v>
      </c>
      <c r="AC393" s="3" t="s">
        <v>81</v>
      </c>
      <c r="AD393" s="3">
        <v>0</v>
      </c>
      <c r="AE393" s="3" t="s">
        <v>98</v>
      </c>
      <c r="AF393" s="3">
        <v>0</v>
      </c>
      <c r="AG393" s="3" t="s">
        <v>82</v>
      </c>
      <c r="AH393" s="3">
        <v>1</v>
      </c>
      <c r="AI393" s="3">
        <v>2</v>
      </c>
      <c r="AJ393" s="3">
        <v>1</v>
      </c>
      <c r="AK393" s="3">
        <v>0</v>
      </c>
      <c r="AL393" s="3">
        <v>0</v>
      </c>
      <c r="AM393" s="3">
        <v>0</v>
      </c>
      <c r="AN393" s="3">
        <v>1</v>
      </c>
      <c r="AO393" s="3">
        <v>1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1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7" t="s">
        <v>1091</v>
      </c>
      <c r="BX393" s="7" t="s">
        <v>1092</v>
      </c>
    </row>
    <row r="394" spans="1:76">
      <c r="A394" s="3" t="s">
        <v>1095</v>
      </c>
      <c r="B394" s="3">
        <v>3991</v>
      </c>
      <c r="C394" s="3" t="s">
        <v>1087</v>
      </c>
      <c r="D394" s="3">
        <v>8</v>
      </c>
      <c r="E394" s="4">
        <v>51</v>
      </c>
      <c r="F394" s="3" t="s">
        <v>78</v>
      </c>
      <c r="G394" s="3">
        <v>0</v>
      </c>
      <c r="H394" s="3">
        <v>0</v>
      </c>
      <c r="I394" s="4">
        <v>1</v>
      </c>
      <c r="J394" s="4">
        <v>1</v>
      </c>
      <c r="K394" s="4">
        <v>2</v>
      </c>
      <c r="L394" s="5">
        <f>IF(F394="F",65.79,IF(F394="M",79.94,""))</f>
        <v>79.94</v>
      </c>
      <c r="M394" s="3">
        <f t="shared" si="42"/>
        <v>0</v>
      </c>
      <c r="N394" s="3" t="str">
        <f t="shared" si="43"/>
        <v>VSC-non-halitosis</v>
      </c>
      <c r="O394" s="3" t="str">
        <f t="shared" si="44"/>
        <v>Clinical- / VSC-</v>
      </c>
      <c r="P394" s="5">
        <f t="shared" si="45"/>
        <v>0.69314718055994529</v>
      </c>
      <c r="Q394" s="5">
        <f t="shared" si="46"/>
        <v>0.69314718055994529</v>
      </c>
      <c r="R394" s="5">
        <f t="shared" si="46"/>
        <v>0.69314718055994529</v>
      </c>
      <c r="S394" s="5">
        <f t="shared" si="47"/>
        <v>0.5</v>
      </c>
      <c r="T394" s="3">
        <f t="shared" si="48"/>
        <v>0</v>
      </c>
      <c r="U394" s="3" t="s">
        <v>102</v>
      </c>
      <c r="V394" s="3">
        <v>1</v>
      </c>
      <c r="W394" s="6">
        <v>7.6</v>
      </c>
      <c r="X394" s="4">
        <v>10</v>
      </c>
      <c r="Y394" s="5">
        <v>0.7</v>
      </c>
      <c r="Z394" s="5">
        <v>2.2000000000000002</v>
      </c>
      <c r="AA394" s="3" t="s">
        <v>80</v>
      </c>
      <c r="AB394" s="3">
        <v>0</v>
      </c>
      <c r="AC394" s="3" t="s">
        <v>81</v>
      </c>
      <c r="AD394" s="3">
        <v>0</v>
      </c>
      <c r="AE394" s="3" t="s">
        <v>98</v>
      </c>
      <c r="AF394" s="3">
        <v>0</v>
      </c>
      <c r="AG394" s="3" t="s">
        <v>82</v>
      </c>
      <c r="AH394" s="3">
        <v>1</v>
      </c>
      <c r="AI394" s="3">
        <v>2</v>
      </c>
      <c r="AJ394" s="3">
        <v>1</v>
      </c>
      <c r="AK394" s="3">
        <v>0</v>
      </c>
      <c r="AL394" s="3">
        <v>0</v>
      </c>
      <c r="AM394" s="3">
        <v>0</v>
      </c>
      <c r="AN394" s="3">
        <v>1</v>
      </c>
      <c r="AO394" s="3">
        <v>1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1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7" t="s">
        <v>1088</v>
      </c>
      <c r="BX394" s="7" t="s">
        <v>1089</v>
      </c>
    </row>
    <row r="395" spans="1:76" ht="34">
      <c r="A395" s="3" t="s">
        <v>1096</v>
      </c>
      <c r="B395" s="3">
        <v>5198</v>
      </c>
      <c r="C395" s="3" t="s">
        <v>1087</v>
      </c>
      <c r="D395" s="3">
        <v>8</v>
      </c>
      <c r="E395" s="4">
        <v>51</v>
      </c>
      <c r="F395" s="3" t="s">
        <v>78</v>
      </c>
      <c r="G395" s="3">
        <v>0</v>
      </c>
      <c r="H395" s="3">
        <v>0</v>
      </c>
      <c r="I395" s="4">
        <v>1</v>
      </c>
      <c r="J395" s="4">
        <v>1</v>
      </c>
      <c r="K395" s="4">
        <v>2</v>
      </c>
      <c r="L395" s="5">
        <f>IF(F395="F",65.79,IF(F395="M",79.94,""))</f>
        <v>79.94</v>
      </c>
      <c r="M395" s="3">
        <f t="shared" si="42"/>
        <v>0</v>
      </c>
      <c r="N395" s="3" t="str">
        <f t="shared" si="43"/>
        <v>VSC-non-halitosis</v>
      </c>
      <c r="O395" s="3" t="str">
        <f t="shared" si="44"/>
        <v>Clinical- / VSC-</v>
      </c>
      <c r="P395" s="5">
        <f t="shared" si="45"/>
        <v>0.69314718055994529</v>
      </c>
      <c r="Q395" s="5">
        <f t="shared" si="46"/>
        <v>0.69314718055994529</v>
      </c>
      <c r="R395" s="5">
        <f t="shared" si="46"/>
        <v>0.69314718055994529</v>
      </c>
      <c r="S395" s="5">
        <f t="shared" si="47"/>
        <v>0.5</v>
      </c>
      <c r="T395" s="3">
        <f t="shared" si="48"/>
        <v>0</v>
      </c>
      <c r="U395" s="3" t="s">
        <v>102</v>
      </c>
      <c r="V395" s="3">
        <v>1</v>
      </c>
      <c r="W395" s="6">
        <v>7.6</v>
      </c>
      <c r="X395" s="4">
        <v>10</v>
      </c>
      <c r="Y395" s="5">
        <v>0.7</v>
      </c>
      <c r="Z395" s="5">
        <v>2.2000000000000002</v>
      </c>
      <c r="AA395" s="3" t="s">
        <v>208</v>
      </c>
      <c r="AB395" s="3">
        <v>1</v>
      </c>
      <c r="AC395" s="3" t="s">
        <v>81</v>
      </c>
      <c r="AD395" s="3">
        <v>0</v>
      </c>
      <c r="AE395" s="3" t="s">
        <v>98</v>
      </c>
      <c r="AF395" s="3">
        <v>0</v>
      </c>
      <c r="AG395" s="3" t="s">
        <v>82</v>
      </c>
      <c r="AH395" s="3">
        <v>1</v>
      </c>
      <c r="AI395" s="3">
        <v>2</v>
      </c>
      <c r="AJ395" s="3">
        <v>1</v>
      </c>
      <c r="AK395" s="3">
        <v>0</v>
      </c>
      <c r="AL395" s="3">
        <v>0</v>
      </c>
      <c r="AM395" s="3">
        <v>0</v>
      </c>
      <c r="AN395" s="3">
        <v>1</v>
      </c>
      <c r="AO395" s="3">
        <v>1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1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7" t="s">
        <v>1091</v>
      </c>
      <c r="BX395" s="7" t="s">
        <v>1092</v>
      </c>
    </row>
    <row r="396" spans="1:76">
      <c r="A396" s="3" t="s">
        <v>1097</v>
      </c>
      <c r="B396" s="3">
        <v>3991</v>
      </c>
      <c r="C396" s="3" t="s">
        <v>1087</v>
      </c>
      <c r="D396" s="3">
        <v>8</v>
      </c>
      <c r="E396" s="4">
        <v>51</v>
      </c>
      <c r="F396" s="3" t="s">
        <v>78</v>
      </c>
      <c r="G396" s="3">
        <v>0</v>
      </c>
      <c r="H396" s="3">
        <v>0</v>
      </c>
      <c r="I396" s="4">
        <v>1</v>
      </c>
      <c r="J396" s="4">
        <v>1</v>
      </c>
      <c r="K396" s="4">
        <v>2</v>
      </c>
      <c r="L396" s="5">
        <f>IF(F396="F",65.79,IF(F396="M",79.94,""))</f>
        <v>79.94</v>
      </c>
      <c r="M396" s="3">
        <f t="shared" si="42"/>
        <v>0</v>
      </c>
      <c r="N396" s="3" t="str">
        <f t="shared" si="43"/>
        <v>VSC-non-halitosis</v>
      </c>
      <c r="O396" s="3" t="str">
        <f t="shared" si="44"/>
        <v>Clinical- / VSC-</v>
      </c>
      <c r="P396" s="5">
        <f t="shared" si="45"/>
        <v>0.69314718055994529</v>
      </c>
      <c r="Q396" s="5">
        <f t="shared" si="46"/>
        <v>0.69314718055994529</v>
      </c>
      <c r="R396" s="5">
        <f t="shared" si="46"/>
        <v>0.69314718055994529</v>
      </c>
      <c r="S396" s="5">
        <f t="shared" si="47"/>
        <v>0.5</v>
      </c>
      <c r="T396" s="3">
        <f t="shared" si="48"/>
        <v>0</v>
      </c>
      <c r="U396" s="3" t="s">
        <v>102</v>
      </c>
      <c r="V396" s="3">
        <v>1</v>
      </c>
      <c r="W396" s="6">
        <v>7.4</v>
      </c>
      <c r="X396" s="4">
        <v>9</v>
      </c>
      <c r="Y396" s="5">
        <v>0.7</v>
      </c>
      <c r="Z396" s="5">
        <v>2</v>
      </c>
      <c r="AA396" s="3" t="s">
        <v>80</v>
      </c>
      <c r="AB396" s="3">
        <v>0</v>
      </c>
      <c r="AC396" s="3" t="s">
        <v>81</v>
      </c>
      <c r="AD396" s="3">
        <v>0</v>
      </c>
      <c r="AE396" s="3" t="s">
        <v>98</v>
      </c>
      <c r="AF396" s="3">
        <v>0</v>
      </c>
      <c r="AG396" s="3" t="s">
        <v>82</v>
      </c>
      <c r="AH396" s="3">
        <v>1</v>
      </c>
      <c r="AI396" s="3">
        <v>2</v>
      </c>
      <c r="AJ396" s="3">
        <v>1</v>
      </c>
      <c r="AK396" s="3">
        <v>0</v>
      </c>
      <c r="AL396" s="3">
        <v>0</v>
      </c>
      <c r="AM396" s="3">
        <v>0</v>
      </c>
      <c r="AN396" s="3">
        <v>1</v>
      </c>
      <c r="AO396" s="3">
        <v>1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1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7" t="s">
        <v>1088</v>
      </c>
      <c r="BX396" s="7" t="s">
        <v>1089</v>
      </c>
    </row>
    <row r="397" spans="1:76" ht="34">
      <c r="A397" s="3" t="s">
        <v>1098</v>
      </c>
      <c r="B397" s="3">
        <v>5198</v>
      </c>
      <c r="C397" s="3" t="s">
        <v>1087</v>
      </c>
      <c r="D397" s="3">
        <v>8</v>
      </c>
      <c r="E397" s="4">
        <v>51</v>
      </c>
      <c r="F397" s="3" t="s">
        <v>78</v>
      </c>
      <c r="G397" s="3">
        <v>0</v>
      </c>
      <c r="H397" s="3">
        <v>0</v>
      </c>
      <c r="I397" s="4">
        <v>1</v>
      </c>
      <c r="J397" s="4">
        <v>1</v>
      </c>
      <c r="K397" s="4">
        <v>2</v>
      </c>
      <c r="L397" s="5">
        <f>IF(F397="F",65.79,IF(F397="M",79.94,""))</f>
        <v>79.94</v>
      </c>
      <c r="M397" s="3">
        <f t="shared" si="42"/>
        <v>0</v>
      </c>
      <c r="N397" s="3" t="str">
        <f t="shared" si="43"/>
        <v>VSC-non-halitosis</v>
      </c>
      <c r="O397" s="3" t="str">
        <f t="shared" si="44"/>
        <v>Clinical- / VSC-</v>
      </c>
      <c r="P397" s="5">
        <f t="shared" si="45"/>
        <v>0.69314718055994529</v>
      </c>
      <c r="Q397" s="5">
        <f t="shared" si="46"/>
        <v>0.69314718055994529</v>
      </c>
      <c r="R397" s="5">
        <f t="shared" si="46"/>
        <v>0.69314718055994529</v>
      </c>
      <c r="S397" s="5">
        <f t="shared" si="47"/>
        <v>0.5</v>
      </c>
      <c r="T397" s="3">
        <f t="shared" si="48"/>
        <v>0</v>
      </c>
      <c r="U397" s="3" t="s">
        <v>102</v>
      </c>
      <c r="V397" s="3">
        <v>1</v>
      </c>
      <c r="W397" s="6">
        <v>7.4</v>
      </c>
      <c r="X397" s="4">
        <v>9</v>
      </c>
      <c r="Y397" s="5">
        <v>0.7</v>
      </c>
      <c r="Z397" s="5">
        <v>2</v>
      </c>
      <c r="AA397" s="3" t="s">
        <v>208</v>
      </c>
      <c r="AB397" s="3">
        <v>1</v>
      </c>
      <c r="AC397" s="3" t="s">
        <v>81</v>
      </c>
      <c r="AD397" s="3">
        <v>0</v>
      </c>
      <c r="AE397" s="3" t="s">
        <v>98</v>
      </c>
      <c r="AF397" s="3">
        <v>0</v>
      </c>
      <c r="AG397" s="3" t="s">
        <v>82</v>
      </c>
      <c r="AH397" s="3">
        <v>1</v>
      </c>
      <c r="AI397" s="3">
        <v>2</v>
      </c>
      <c r="AJ397" s="3">
        <v>1</v>
      </c>
      <c r="AK397" s="3">
        <v>0</v>
      </c>
      <c r="AL397" s="3">
        <v>0</v>
      </c>
      <c r="AM397" s="3">
        <v>0</v>
      </c>
      <c r="AN397" s="3">
        <v>1</v>
      </c>
      <c r="AO397" s="3">
        <v>1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1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7" t="s">
        <v>1091</v>
      </c>
      <c r="BX397" s="7" t="s">
        <v>1092</v>
      </c>
    </row>
    <row r="398" spans="1:76">
      <c r="A398" s="3" t="s">
        <v>1099</v>
      </c>
      <c r="B398" s="3">
        <v>3992</v>
      </c>
      <c r="C398" s="3" t="s">
        <v>1100</v>
      </c>
      <c r="D398" s="3">
        <v>1</v>
      </c>
      <c r="E398" s="4">
        <v>63</v>
      </c>
      <c r="F398" s="3" t="s">
        <v>87</v>
      </c>
      <c r="G398" s="3">
        <v>0</v>
      </c>
      <c r="H398" s="3">
        <v>1</v>
      </c>
      <c r="I398" s="4">
        <v>1</v>
      </c>
      <c r="J398" s="4">
        <v>4</v>
      </c>
      <c r="K398" s="4">
        <v>5</v>
      </c>
      <c r="L398" s="5">
        <f>IF(F398="F",65.79,IF(F398="M",79.94,""))</f>
        <v>65.790000000000006</v>
      </c>
      <c r="M398" s="3">
        <f t="shared" si="42"/>
        <v>0</v>
      </c>
      <c r="N398" s="3" t="str">
        <f t="shared" si="43"/>
        <v>VSC-non-halitosis</v>
      </c>
      <c r="O398" s="3" t="str">
        <f t="shared" si="44"/>
        <v>Clinical- / VSC-</v>
      </c>
      <c r="P398" s="5">
        <f t="shared" si="45"/>
        <v>1.6094379124341003</v>
      </c>
      <c r="Q398" s="5">
        <f t="shared" si="46"/>
        <v>0.69314718055994529</v>
      </c>
      <c r="R398" s="5">
        <f t="shared" si="46"/>
        <v>1.6094379124341003</v>
      </c>
      <c r="S398" s="5">
        <f t="shared" si="47"/>
        <v>0.8</v>
      </c>
      <c r="T398" s="3">
        <f t="shared" si="48"/>
        <v>1</v>
      </c>
      <c r="U398" s="3" t="s">
        <v>79</v>
      </c>
      <c r="V398" s="3">
        <v>2</v>
      </c>
      <c r="W398" s="6">
        <v>6.8</v>
      </c>
      <c r="X398" s="4">
        <v>10</v>
      </c>
      <c r="Y398" s="5">
        <v>0.2</v>
      </c>
      <c r="Z398" s="5">
        <v>1</v>
      </c>
      <c r="AA398" s="3" t="s">
        <v>80</v>
      </c>
      <c r="AB398" s="3">
        <v>0</v>
      </c>
      <c r="AC398" s="3" t="s">
        <v>138</v>
      </c>
      <c r="AD398" s="3">
        <v>1</v>
      </c>
      <c r="AE398" s="3" t="s">
        <v>90</v>
      </c>
      <c r="AF398" s="3">
        <v>1</v>
      </c>
      <c r="AG398" s="3" t="s">
        <v>98</v>
      </c>
      <c r="AH398" s="3">
        <v>0</v>
      </c>
      <c r="AI398" s="3">
        <v>1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1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7"/>
      <c r="BX398" s="7" t="s">
        <v>1101</v>
      </c>
    </row>
    <row r="399" spans="1:76">
      <c r="A399" s="3" t="s">
        <v>1102</v>
      </c>
      <c r="B399" s="3">
        <v>4016</v>
      </c>
      <c r="C399" s="3" t="s">
        <v>1103</v>
      </c>
      <c r="D399" s="3">
        <v>1</v>
      </c>
      <c r="E399" s="4">
        <v>52</v>
      </c>
      <c r="F399" s="3" t="s">
        <v>87</v>
      </c>
      <c r="G399" s="3">
        <v>0</v>
      </c>
      <c r="H399" s="3">
        <v>0</v>
      </c>
      <c r="I399" s="4">
        <v>31</v>
      </c>
      <c r="J399" s="4">
        <v>4</v>
      </c>
      <c r="K399" s="4">
        <v>35</v>
      </c>
      <c r="L399" s="5">
        <f>IF(F399="F",65.79,IF(F399="M",79.94,""))</f>
        <v>65.790000000000006</v>
      </c>
      <c r="M399" s="3">
        <f t="shared" si="42"/>
        <v>0</v>
      </c>
      <c r="N399" s="3" t="str">
        <f t="shared" si="43"/>
        <v>VSC-non-halitosis</v>
      </c>
      <c r="O399" s="3" t="str">
        <f t="shared" si="44"/>
        <v>Clinical- / VSC-</v>
      </c>
      <c r="P399" s="5">
        <f t="shared" si="45"/>
        <v>3.5553480614894135</v>
      </c>
      <c r="Q399" s="5">
        <f t="shared" si="46"/>
        <v>3.4657359027997265</v>
      </c>
      <c r="R399" s="5">
        <f t="shared" si="46"/>
        <v>1.6094379124341003</v>
      </c>
      <c r="S399" s="5">
        <f t="shared" si="47"/>
        <v>0.11428571428571428</v>
      </c>
      <c r="T399" s="3">
        <f t="shared" si="48"/>
        <v>0</v>
      </c>
      <c r="U399" s="3" t="s">
        <v>96</v>
      </c>
      <c r="V399" s="3">
        <v>3</v>
      </c>
      <c r="W399" s="6">
        <v>7</v>
      </c>
      <c r="X399" s="4">
        <v>9</v>
      </c>
      <c r="Y399" s="5">
        <v>0.7</v>
      </c>
      <c r="Z399" s="5">
        <v>1.6</v>
      </c>
      <c r="AA399" s="3" t="s">
        <v>80</v>
      </c>
      <c r="AB399" s="3">
        <v>0</v>
      </c>
      <c r="AC399" s="3" t="s">
        <v>81</v>
      </c>
      <c r="AD399" s="3">
        <v>0</v>
      </c>
      <c r="AE399" s="3" t="s">
        <v>98</v>
      </c>
      <c r="AF399" s="3">
        <v>0</v>
      </c>
      <c r="AG399" s="3" t="s">
        <v>98</v>
      </c>
      <c r="AH399" s="3">
        <v>0</v>
      </c>
      <c r="AI399" s="3">
        <v>1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1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7" t="s">
        <v>1104</v>
      </c>
      <c r="BX399" s="7"/>
    </row>
    <row r="400" spans="1:76">
      <c r="A400" s="3" t="s">
        <v>1105</v>
      </c>
      <c r="B400" s="3">
        <v>4041</v>
      </c>
      <c r="C400" s="3" t="s">
        <v>1106</v>
      </c>
      <c r="D400" s="3">
        <v>1</v>
      </c>
      <c r="E400" s="4">
        <v>60</v>
      </c>
      <c r="F400" s="3" t="s">
        <v>87</v>
      </c>
      <c r="G400" s="3">
        <v>0</v>
      </c>
      <c r="H400" s="3">
        <v>0</v>
      </c>
      <c r="I400" s="4">
        <v>5</v>
      </c>
      <c r="J400" s="4">
        <v>1</v>
      </c>
      <c r="K400" s="4">
        <v>6</v>
      </c>
      <c r="L400" s="5">
        <f>IF(F400="F",65.79,IF(F400="M",79.94,""))</f>
        <v>65.790000000000006</v>
      </c>
      <c r="M400" s="3">
        <f t="shared" si="42"/>
        <v>0</v>
      </c>
      <c r="N400" s="3" t="str">
        <f t="shared" si="43"/>
        <v>VSC-non-halitosis</v>
      </c>
      <c r="O400" s="3" t="str">
        <f t="shared" si="44"/>
        <v>Clinical- / VSC-</v>
      </c>
      <c r="P400" s="5">
        <f t="shared" si="45"/>
        <v>1.791759469228055</v>
      </c>
      <c r="Q400" s="5">
        <f t="shared" si="46"/>
        <v>1.791759469228055</v>
      </c>
      <c r="R400" s="5">
        <f t="shared" si="46"/>
        <v>0.69314718055994529</v>
      </c>
      <c r="S400" s="5">
        <f t="shared" si="47"/>
        <v>0.16666666666666666</v>
      </c>
      <c r="T400" s="3">
        <f t="shared" si="48"/>
        <v>0</v>
      </c>
      <c r="U400" s="3" t="s">
        <v>79</v>
      </c>
      <c r="V400" s="3">
        <v>2</v>
      </c>
      <c r="W400" s="6">
        <v>7</v>
      </c>
      <c r="X400" s="4">
        <v>9</v>
      </c>
      <c r="Y400" s="5">
        <v>0.25</v>
      </c>
      <c r="Z400" s="5">
        <v>1</v>
      </c>
      <c r="AA400" s="3" t="s">
        <v>88</v>
      </c>
      <c r="AB400" s="3">
        <v>0</v>
      </c>
      <c r="AC400" s="3" t="s">
        <v>81</v>
      </c>
      <c r="AD400" s="3">
        <v>0</v>
      </c>
      <c r="AE400" s="3" t="s">
        <v>82</v>
      </c>
      <c r="AF400" s="3">
        <v>1</v>
      </c>
      <c r="AG400" s="3" t="s">
        <v>98</v>
      </c>
      <c r="AH400" s="3">
        <v>0</v>
      </c>
      <c r="AI400" s="3">
        <v>1</v>
      </c>
      <c r="AJ400" s="3">
        <v>1</v>
      </c>
      <c r="AK400" s="3">
        <v>1</v>
      </c>
      <c r="AL400" s="3">
        <v>1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1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7" t="s">
        <v>1107</v>
      </c>
      <c r="BX400" s="7"/>
    </row>
    <row r="401" spans="1:76">
      <c r="A401" s="3" t="s">
        <v>1108</v>
      </c>
      <c r="B401" s="3">
        <v>4076</v>
      </c>
      <c r="C401" s="3" t="s">
        <v>1109</v>
      </c>
      <c r="D401" s="3">
        <v>1</v>
      </c>
      <c r="E401" s="4">
        <v>47</v>
      </c>
      <c r="F401" s="3" t="s">
        <v>87</v>
      </c>
      <c r="G401" s="3">
        <v>0</v>
      </c>
      <c r="H401" s="3">
        <v>0</v>
      </c>
      <c r="I401" s="4">
        <v>15</v>
      </c>
      <c r="J401" s="4">
        <v>2</v>
      </c>
      <c r="K401" s="4">
        <v>17</v>
      </c>
      <c r="L401" s="5">
        <f>IF(F401="F",65.79,IF(F401="M",79.94,""))</f>
        <v>65.790000000000006</v>
      </c>
      <c r="M401" s="3">
        <f t="shared" si="42"/>
        <v>0</v>
      </c>
      <c r="N401" s="3" t="str">
        <f t="shared" si="43"/>
        <v>VSC-non-halitosis</v>
      </c>
      <c r="O401" s="3" t="str">
        <f t="shared" si="44"/>
        <v>Clinical- / VSC-</v>
      </c>
      <c r="P401" s="5">
        <f t="shared" si="45"/>
        <v>2.8332133440562162</v>
      </c>
      <c r="Q401" s="5">
        <f t="shared" si="46"/>
        <v>2.7725887222397811</v>
      </c>
      <c r="R401" s="5">
        <f t="shared" si="46"/>
        <v>1.0986122886681098</v>
      </c>
      <c r="S401" s="5">
        <f t="shared" si="47"/>
        <v>0.11764705882352941</v>
      </c>
      <c r="T401" s="3">
        <f t="shared" si="48"/>
        <v>0</v>
      </c>
      <c r="U401" s="3" t="s">
        <v>79</v>
      </c>
      <c r="V401" s="3">
        <v>2</v>
      </c>
      <c r="W401" s="6">
        <v>6.6</v>
      </c>
      <c r="X401" s="4">
        <v>10</v>
      </c>
      <c r="Y401" s="5">
        <v>0.3</v>
      </c>
      <c r="Z401" s="5">
        <v>1</v>
      </c>
      <c r="AA401" s="3" t="s">
        <v>208</v>
      </c>
      <c r="AB401" s="3">
        <v>1</v>
      </c>
      <c r="AC401" s="3" t="s">
        <v>138</v>
      </c>
      <c r="AD401" s="3">
        <v>1</v>
      </c>
      <c r="AE401" s="3" t="s">
        <v>90</v>
      </c>
      <c r="AF401" s="3">
        <v>1</v>
      </c>
      <c r="AG401" s="3" t="s">
        <v>90</v>
      </c>
      <c r="AH401" s="3">
        <v>1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7"/>
      <c r="BX401" s="7"/>
    </row>
    <row r="402" spans="1:76">
      <c r="A402" s="3" t="s">
        <v>1110</v>
      </c>
      <c r="B402" s="3">
        <v>4117</v>
      </c>
      <c r="C402" s="3" t="s">
        <v>1111</v>
      </c>
      <c r="D402" s="3">
        <v>1</v>
      </c>
      <c r="E402" s="4">
        <v>61</v>
      </c>
      <c r="F402" s="3" t="s">
        <v>78</v>
      </c>
      <c r="G402" s="3">
        <v>0</v>
      </c>
      <c r="H402" s="3">
        <v>0</v>
      </c>
      <c r="I402" s="4">
        <v>1</v>
      </c>
      <c r="J402" s="4">
        <v>1</v>
      </c>
      <c r="K402" s="4">
        <v>2</v>
      </c>
      <c r="L402" s="5">
        <f>IF(F402="F",65.79,IF(F402="M",79.94,""))</f>
        <v>79.94</v>
      </c>
      <c r="M402" s="3">
        <f t="shared" si="42"/>
        <v>0</v>
      </c>
      <c r="N402" s="3" t="str">
        <f t="shared" si="43"/>
        <v>VSC-non-halitosis</v>
      </c>
      <c r="O402" s="3" t="str">
        <f t="shared" si="44"/>
        <v>Clinical- / VSC-</v>
      </c>
      <c r="P402" s="5">
        <f t="shared" si="45"/>
        <v>0.69314718055994529</v>
      </c>
      <c r="Q402" s="5">
        <f t="shared" si="46"/>
        <v>0.69314718055994529</v>
      </c>
      <c r="R402" s="5">
        <f t="shared" si="46"/>
        <v>0.69314718055994529</v>
      </c>
      <c r="S402" s="5">
        <f t="shared" si="47"/>
        <v>0.5</v>
      </c>
      <c r="T402" s="3">
        <f t="shared" si="48"/>
        <v>0</v>
      </c>
      <c r="U402" s="3" t="s">
        <v>102</v>
      </c>
      <c r="V402" s="3">
        <v>1</v>
      </c>
      <c r="W402" s="6">
        <v>6</v>
      </c>
      <c r="X402" s="4">
        <v>10</v>
      </c>
      <c r="Y402" s="5">
        <v>0.3</v>
      </c>
      <c r="Z402" s="5">
        <v>1.8</v>
      </c>
      <c r="AA402" s="3" t="s">
        <v>88</v>
      </c>
      <c r="AB402" s="3">
        <v>0</v>
      </c>
      <c r="AC402" s="3" t="s">
        <v>81</v>
      </c>
      <c r="AD402" s="3">
        <v>0</v>
      </c>
      <c r="AE402" s="3" t="s">
        <v>82</v>
      </c>
      <c r="AF402" s="3">
        <v>1</v>
      </c>
      <c r="AG402" s="3" t="s">
        <v>82</v>
      </c>
      <c r="AH402" s="3">
        <v>1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7"/>
      <c r="BX402" s="7"/>
    </row>
    <row r="403" spans="1:76" ht="34">
      <c r="A403" s="3" t="s">
        <v>1112</v>
      </c>
      <c r="B403" s="3">
        <v>4170</v>
      </c>
      <c r="C403" s="3" t="s">
        <v>1113</v>
      </c>
      <c r="D403" s="3">
        <v>1</v>
      </c>
      <c r="E403" s="4">
        <v>64</v>
      </c>
      <c r="F403" s="3" t="s">
        <v>87</v>
      </c>
      <c r="G403" s="3">
        <v>0</v>
      </c>
      <c r="H403" s="3">
        <v>0</v>
      </c>
      <c r="I403" s="4">
        <v>2</v>
      </c>
      <c r="J403" s="4">
        <v>0</v>
      </c>
      <c r="K403" s="4">
        <v>2</v>
      </c>
      <c r="L403" s="5">
        <f>IF(F403="F",65.79,IF(F403="M",79.94,""))</f>
        <v>65.790000000000006</v>
      </c>
      <c r="M403" s="3">
        <f t="shared" si="42"/>
        <v>0</v>
      </c>
      <c r="N403" s="3" t="str">
        <f t="shared" si="43"/>
        <v>VSC-non-halitosis</v>
      </c>
      <c r="O403" s="3" t="str">
        <f t="shared" si="44"/>
        <v>Clinical- / VSC-</v>
      </c>
      <c r="P403" s="5">
        <f t="shared" si="45"/>
        <v>0.69314718055994529</v>
      </c>
      <c r="Q403" s="5">
        <f t="shared" si="46"/>
        <v>1.0986122886681098</v>
      </c>
      <c r="R403" s="5">
        <f t="shared" si="46"/>
        <v>0</v>
      </c>
      <c r="S403" s="5">
        <f t="shared" si="47"/>
        <v>0</v>
      </c>
      <c r="T403" s="3">
        <f t="shared" si="48"/>
        <v>0</v>
      </c>
      <c r="U403" s="3" t="s">
        <v>102</v>
      </c>
      <c r="V403" s="3">
        <v>1</v>
      </c>
      <c r="W403" s="6">
        <v>6.4</v>
      </c>
      <c r="X403" s="4">
        <v>12</v>
      </c>
      <c r="Y403" s="5">
        <v>0.5</v>
      </c>
      <c r="Z403" s="5">
        <v>2.4</v>
      </c>
      <c r="AA403" s="3" t="s">
        <v>88</v>
      </c>
      <c r="AB403" s="3">
        <v>0</v>
      </c>
      <c r="AC403" s="3" t="s">
        <v>113</v>
      </c>
      <c r="AD403" s="3">
        <v>0</v>
      </c>
      <c r="AE403" s="3" t="s">
        <v>82</v>
      </c>
      <c r="AF403" s="3">
        <v>1</v>
      </c>
      <c r="AG403" s="3" t="s">
        <v>98</v>
      </c>
      <c r="AH403" s="3">
        <v>0</v>
      </c>
      <c r="AI403" s="3">
        <v>3</v>
      </c>
      <c r="AJ403" s="3">
        <v>2</v>
      </c>
      <c r="AK403" s="3">
        <v>0</v>
      </c>
      <c r="AL403" s="3">
        <v>1</v>
      </c>
      <c r="AM403" s="3">
        <v>0</v>
      </c>
      <c r="AN403" s="3">
        <v>1</v>
      </c>
      <c r="AO403" s="3">
        <v>0</v>
      </c>
      <c r="AP403" s="3">
        <v>0</v>
      </c>
      <c r="AQ403" s="3">
        <v>1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1</v>
      </c>
      <c r="BG403" s="3">
        <v>0</v>
      </c>
      <c r="BH403" s="3">
        <v>1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7" t="s">
        <v>1114</v>
      </c>
      <c r="BX403" s="7"/>
    </row>
    <row r="404" spans="1:76" ht="34">
      <c r="A404" s="3" t="s">
        <v>1115</v>
      </c>
      <c r="B404" s="3">
        <v>4514</v>
      </c>
      <c r="C404" s="3" t="s">
        <v>1116</v>
      </c>
      <c r="D404" s="3">
        <v>1</v>
      </c>
      <c r="E404" s="4">
        <v>71</v>
      </c>
      <c r="F404" s="3" t="s">
        <v>87</v>
      </c>
      <c r="G404" s="3">
        <v>0</v>
      </c>
      <c r="H404" s="3">
        <v>0</v>
      </c>
      <c r="I404" s="4">
        <v>1</v>
      </c>
      <c r="J404" s="4">
        <v>3</v>
      </c>
      <c r="K404" s="4">
        <v>4</v>
      </c>
      <c r="L404" s="5">
        <f>IF(F404="F",65.79,IF(F404="M",79.94,""))</f>
        <v>65.790000000000006</v>
      </c>
      <c r="M404" s="3">
        <f t="shared" si="42"/>
        <v>0</v>
      </c>
      <c r="N404" s="3" t="str">
        <f t="shared" si="43"/>
        <v>VSC-non-halitosis</v>
      </c>
      <c r="O404" s="3" t="str">
        <f t="shared" si="44"/>
        <v>Clinical- / VSC-</v>
      </c>
      <c r="P404" s="5">
        <f t="shared" si="45"/>
        <v>1.3862943611198906</v>
      </c>
      <c r="Q404" s="5">
        <f t="shared" si="46"/>
        <v>0.69314718055994529</v>
      </c>
      <c r="R404" s="5">
        <f t="shared" si="46"/>
        <v>1.3862943611198906</v>
      </c>
      <c r="S404" s="5">
        <f t="shared" si="47"/>
        <v>0.75</v>
      </c>
      <c r="T404" s="3">
        <f t="shared" si="48"/>
        <v>1</v>
      </c>
      <c r="U404" s="3" t="s">
        <v>79</v>
      </c>
      <c r="V404" s="3">
        <v>2</v>
      </c>
      <c r="W404" s="6">
        <v>6.4</v>
      </c>
      <c r="X404" s="4">
        <v>12</v>
      </c>
      <c r="Y404" s="5">
        <v>0.5</v>
      </c>
      <c r="Z404" s="5">
        <v>2.5</v>
      </c>
      <c r="AA404" s="3" t="s">
        <v>208</v>
      </c>
      <c r="AB404" s="3">
        <v>1</v>
      </c>
      <c r="AC404" s="3" t="s">
        <v>81</v>
      </c>
      <c r="AD404" s="3">
        <v>0</v>
      </c>
      <c r="AE404" s="3" t="s">
        <v>82</v>
      </c>
      <c r="AF404" s="3">
        <v>1</v>
      </c>
      <c r="AG404" s="3" t="s">
        <v>82</v>
      </c>
      <c r="AH404" s="3">
        <v>1</v>
      </c>
      <c r="AI404" s="3">
        <v>3</v>
      </c>
      <c r="AJ404" s="3">
        <v>2</v>
      </c>
      <c r="AK404" s="3">
        <v>0</v>
      </c>
      <c r="AL404" s="3">
        <v>1</v>
      </c>
      <c r="AM404" s="3">
        <v>1</v>
      </c>
      <c r="AN404" s="3">
        <v>0</v>
      </c>
      <c r="AO404" s="3">
        <v>0</v>
      </c>
      <c r="AP404" s="3">
        <v>0</v>
      </c>
      <c r="AQ404" s="3">
        <v>1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1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1</v>
      </c>
      <c r="BW404" s="7" t="s">
        <v>1117</v>
      </c>
      <c r="BX404" s="7" t="s">
        <v>1118</v>
      </c>
    </row>
    <row r="405" spans="1:76">
      <c r="A405" s="3" t="s">
        <v>1119</v>
      </c>
      <c r="B405" s="3">
        <v>4243</v>
      </c>
      <c r="C405" s="3" t="s">
        <v>1120</v>
      </c>
      <c r="D405" s="3">
        <v>1</v>
      </c>
      <c r="E405" s="4">
        <v>64</v>
      </c>
      <c r="F405" s="3" t="s">
        <v>78</v>
      </c>
      <c r="G405" s="3">
        <v>0</v>
      </c>
      <c r="H405" s="3">
        <v>0</v>
      </c>
      <c r="I405" s="4">
        <v>0</v>
      </c>
      <c r="J405" s="4">
        <v>7</v>
      </c>
      <c r="K405" s="4">
        <v>7</v>
      </c>
      <c r="L405" s="5">
        <f>IF(F405="F",65.79,IF(F405="M",79.94,""))</f>
        <v>79.94</v>
      </c>
      <c r="M405" s="3">
        <f t="shared" si="42"/>
        <v>0</v>
      </c>
      <c r="N405" s="3" t="str">
        <f t="shared" si="43"/>
        <v>VSC-non-halitosis</v>
      </c>
      <c r="O405" s="3" t="str">
        <f t="shared" si="44"/>
        <v>Clinical- / VSC-</v>
      </c>
      <c r="P405" s="5">
        <f t="shared" si="45"/>
        <v>1.9459101490553132</v>
      </c>
      <c r="Q405" s="5">
        <f t="shared" si="46"/>
        <v>0</v>
      </c>
      <c r="R405" s="5">
        <f t="shared" si="46"/>
        <v>2.0794415416798357</v>
      </c>
      <c r="S405" s="5">
        <f t="shared" si="47"/>
        <v>1</v>
      </c>
      <c r="T405" s="3">
        <f t="shared" si="48"/>
        <v>1</v>
      </c>
      <c r="U405" s="3" t="s">
        <v>79</v>
      </c>
      <c r="V405" s="3">
        <v>2</v>
      </c>
      <c r="W405" s="6">
        <v>7.4</v>
      </c>
      <c r="X405" s="4">
        <v>10</v>
      </c>
      <c r="Y405" s="5">
        <v>0.3</v>
      </c>
      <c r="Z405" s="5">
        <v>1.8</v>
      </c>
      <c r="AA405" s="3" t="s">
        <v>88</v>
      </c>
      <c r="AB405" s="3">
        <v>0</v>
      </c>
      <c r="AC405" s="3" t="s">
        <v>81</v>
      </c>
      <c r="AD405" s="3">
        <v>0</v>
      </c>
      <c r="AE405" s="3" t="s">
        <v>82</v>
      </c>
      <c r="AF405" s="3">
        <v>1</v>
      </c>
      <c r="AG405" s="3" t="s">
        <v>98</v>
      </c>
      <c r="AH405" s="3">
        <v>0</v>
      </c>
      <c r="AI405" s="3">
        <v>3</v>
      </c>
      <c r="AJ405" s="3">
        <v>2</v>
      </c>
      <c r="AK405" s="3">
        <v>2</v>
      </c>
      <c r="AL405" s="3">
        <v>1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1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1</v>
      </c>
      <c r="BF405" s="3">
        <v>0</v>
      </c>
      <c r="BG405" s="3">
        <v>1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1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7" t="s">
        <v>1121</v>
      </c>
      <c r="BX405" s="7" t="s">
        <v>324</v>
      </c>
    </row>
    <row r="406" spans="1:76" ht="34">
      <c r="A406" s="3" t="s">
        <v>1122</v>
      </c>
      <c r="B406" s="3">
        <v>4265</v>
      </c>
      <c r="C406" s="3" t="s">
        <v>1123</v>
      </c>
      <c r="D406" s="3">
        <v>1</v>
      </c>
      <c r="E406" s="4">
        <v>54</v>
      </c>
      <c r="F406" s="3" t="s">
        <v>87</v>
      </c>
      <c r="G406" s="3">
        <v>0</v>
      </c>
      <c r="H406" s="3">
        <v>0</v>
      </c>
      <c r="I406" s="4">
        <v>1</v>
      </c>
      <c r="J406" s="4">
        <v>6</v>
      </c>
      <c r="K406" s="4">
        <v>7</v>
      </c>
      <c r="L406" s="5">
        <f>IF(F406="F",65.79,IF(F406="M",79.94,""))</f>
        <v>65.790000000000006</v>
      </c>
      <c r="M406" s="3">
        <f t="shared" si="42"/>
        <v>0</v>
      </c>
      <c r="N406" s="3" t="str">
        <f t="shared" si="43"/>
        <v>VSC-non-halitosis</v>
      </c>
      <c r="O406" s="3" t="str">
        <f t="shared" si="44"/>
        <v>Clinical- / VSC-</v>
      </c>
      <c r="P406" s="5">
        <f t="shared" si="45"/>
        <v>1.9459101490553132</v>
      </c>
      <c r="Q406" s="5">
        <f t="shared" si="46"/>
        <v>0.69314718055994529</v>
      </c>
      <c r="R406" s="5">
        <f t="shared" si="46"/>
        <v>1.9459101490553132</v>
      </c>
      <c r="S406" s="5">
        <f t="shared" si="47"/>
        <v>0.8571428571428571</v>
      </c>
      <c r="T406" s="3">
        <f t="shared" si="48"/>
        <v>1</v>
      </c>
      <c r="U406" s="3" t="s">
        <v>79</v>
      </c>
      <c r="V406" s="3">
        <v>2</v>
      </c>
      <c r="W406" s="6">
        <v>6.4</v>
      </c>
      <c r="X406" s="4">
        <v>10</v>
      </c>
      <c r="Y406" s="5">
        <v>0.35</v>
      </c>
      <c r="Z406" s="5">
        <v>0.6</v>
      </c>
      <c r="AA406" s="3" t="s">
        <v>80</v>
      </c>
      <c r="AB406" s="3">
        <v>0</v>
      </c>
      <c r="AC406" s="3" t="s">
        <v>81</v>
      </c>
      <c r="AD406" s="3">
        <v>0</v>
      </c>
      <c r="AE406" s="3" t="s">
        <v>82</v>
      </c>
      <c r="AF406" s="3">
        <v>1</v>
      </c>
      <c r="AG406" s="3" t="s">
        <v>98</v>
      </c>
      <c r="AH406" s="3">
        <v>0</v>
      </c>
      <c r="AI406" s="3">
        <v>2</v>
      </c>
      <c r="AJ406" s="3">
        <v>1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1</v>
      </c>
      <c r="AR406" s="3">
        <v>0</v>
      </c>
      <c r="AS406" s="3">
        <v>1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1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7" t="s">
        <v>1124</v>
      </c>
      <c r="BX406" s="7" t="s">
        <v>1125</v>
      </c>
    </row>
    <row r="407" spans="1:76" ht="34">
      <c r="A407" s="3" t="s">
        <v>1126</v>
      </c>
      <c r="B407" s="3">
        <v>4294</v>
      </c>
      <c r="C407" s="3" t="s">
        <v>1127</v>
      </c>
      <c r="D407" s="3">
        <v>1</v>
      </c>
      <c r="E407" s="4">
        <v>52</v>
      </c>
      <c r="F407" s="3" t="s">
        <v>78</v>
      </c>
      <c r="G407" s="3">
        <v>0</v>
      </c>
      <c r="H407" s="3">
        <v>0</v>
      </c>
      <c r="I407" s="4">
        <v>8</v>
      </c>
      <c r="J407" s="4">
        <v>0</v>
      </c>
      <c r="K407" s="4">
        <v>8</v>
      </c>
      <c r="L407" s="5">
        <f>IF(F407="F",65.79,IF(F407="M",79.94,""))</f>
        <v>79.94</v>
      </c>
      <c r="M407" s="3">
        <f t="shared" si="42"/>
        <v>0</v>
      </c>
      <c r="N407" s="3" t="str">
        <f t="shared" si="43"/>
        <v>VSC-non-halitosis</v>
      </c>
      <c r="O407" s="3" t="str">
        <f t="shared" si="44"/>
        <v>Clinical- / VSC-</v>
      </c>
      <c r="P407" s="5">
        <f t="shared" si="45"/>
        <v>2.0794415416798357</v>
      </c>
      <c r="Q407" s="5">
        <f t="shared" si="46"/>
        <v>2.1972245773362196</v>
      </c>
      <c r="R407" s="5">
        <f t="shared" si="46"/>
        <v>0</v>
      </c>
      <c r="S407" s="5">
        <f t="shared" si="47"/>
        <v>0</v>
      </c>
      <c r="T407" s="3">
        <f t="shared" si="48"/>
        <v>0</v>
      </c>
      <c r="U407" s="3" t="s">
        <v>79</v>
      </c>
      <c r="V407" s="3">
        <v>2</v>
      </c>
      <c r="W407" s="6">
        <v>7.6</v>
      </c>
      <c r="X407" s="4">
        <v>12</v>
      </c>
      <c r="Y407" s="5">
        <v>1.8</v>
      </c>
      <c r="Z407" s="5">
        <v>5</v>
      </c>
      <c r="AA407" s="3" t="s">
        <v>88</v>
      </c>
      <c r="AB407" s="3">
        <v>0</v>
      </c>
      <c r="AC407" s="3" t="s">
        <v>81</v>
      </c>
      <c r="AD407" s="3">
        <v>0</v>
      </c>
      <c r="AE407" s="3" t="s">
        <v>82</v>
      </c>
      <c r="AF407" s="3">
        <v>1</v>
      </c>
      <c r="AG407" s="3" t="s">
        <v>82</v>
      </c>
      <c r="AH407" s="3">
        <v>1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7"/>
      <c r="BX407" s="7" t="s">
        <v>1128</v>
      </c>
    </row>
    <row r="408" spans="1:76">
      <c r="A408" s="3" t="s">
        <v>1129</v>
      </c>
      <c r="B408" s="3">
        <v>4303</v>
      </c>
      <c r="C408" s="3" t="s">
        <v>1130</v>
      </c>
      <c r="D408" s="3">
        <v>1</v>
      </c>
      <c r="E408" s="4">
        <v>54</v>
      </c>
      <c r="F408" s="3" t="s">
        <v>78</v>
      </c>
      <c r="G408" s="3">
        <v>0</v>
      </c>
      <c r="H408" s="3">
        <v>0</v>
      </c>
      <c r="I408" s="4">
        <v>6</v>
      </c>
      <c r="J408" s="4">
        <v>0</v>
      </c>
      <c r="K408" s="4">
        <v>6</v>
      </c>
      <c r="L408" s="5">
        <f>IF(F408="F",65.79,IF(F408="M",79.94,""))</f>
        <v>79.94</v>
      </c>
      <c r="M408" s="3">
        <f t="shared" si="42"/>
        <v>0</v>
      </c>
      <c r="N408" s="3" t="str">
        <f t="shared" si="43"/>
        <v>VSC-non-halitosis</v>
      </c>
      <c r="O408" s="3" t="str">
        <f t="shared" si="44"/>
        <v>Clinical- / VSC-</v>
      </c>
      <c r="P408" s="5">
        <f t="shared" si="45"/>
        <v>1.791759469228055</v>
      </c>
      <c r="Q408" s="5">
        <f t="shared" si="46"/>
        <v>1.9459101490553132</v>
      </c>
      <c r="R408" s="5">
        <f t="shared" si="46"/>
        <v>0</v>
      </c>
      <c r="S408" s="5">
        <f t="shared" si="47"/>
        <v>0</v>
      </c>
      <c r="T408" s="3">
        <f t="shared" si="48"/>
        <v>0</v>
      </c>
      <c r="U408" s="3" t="s">
        <v>79</v>
      </c>
      <c r="V408" s="3">
        <v>2</v>
      </c>
      <c r="W408" s="6">
        <v>5.8</v>
      </c>
      <c r="X408" s="4">
        <v>12</v>
      </c>
      <c r="Y408" s="5">
        <v>0.3</v>
      </c>
      <c r="Z408" s="5">
        <v>0.9</v>
      </c>
      <c r="AA408" s="3" t="s">
        <v>88</v>
      </c>
      <c r="AB408" s="3">
        <v>0</v>
      </c>
      <c r="AC408" s="3" t="s">
        <v>81</v>
      </c>
      <c r="AD408" s="3">
        <v>0</v>
      </c>
      <c r="AE408" s="3" t="s">
        <v>82</v>
      </c>
      <c r="AF408" s="3">
        <v>1</v>
      </c>
      <c r="AG408" s="3" t="s">
        <v>82</v>
      </c>
      <c r="AH408" s="3">
        <v>1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7" t="s">
        <v>1131</v>
      </c>
      <c r="BX408" s="7"/>
    </row>
    <row r="409" spans="1:76">
      <c r="A409" s="3" t="s">
        <v>1132</v>
      </c>
      <c r="B409" s="3">
        <v>4305</v>
      </c>
      <c r="C409" s="3" t="s">
        <v>1133</v>
      </c>
      <c r="D409" s="3">
        <v>1</v>
      </c>
      <c r="E409" s="4">
        <v>32</v>
      </c>
      <c r="F409" s="3" t="s">
        <v>87</v>
      </c>
      <c r="G409" s="3">
        <v>0</v>
      </c>
      <c r="H409" s="3">
        <v>1</v>
      </c>
      <c r="I409" s="4">
        <v>121</v>
      </c>
      <c r="J409" s="4">
        <v>55</v>
      </c>
      <c r="K409" s="4">
        <v>176</v>
      </c>
      <c r="L409" s="5">
        <f>IF(F409="F",65.79,IF(F409="M",79.94,""))</f>
        <v>65.790000000000006</v>
      </c>
      <c r="M409" s="3">
        <f t="shared" si="42"/>
        <v>1</v>
      </c>
      <c r="N409" s="3" t="str">
        <f t="shared" si="43"/>
        <v>VSC-halitosis</v>
      </c>
      <c r="O409" s="3" t="str">
        <f t="shared" si="44"/>
        <v>Clinical- / VSC+</v>
      </c>
      <c r="P409" s="5">
        <f t="shared" si="45"/>
        <v>5.1704839950381514</v>
      </c>
      <c r="Q409" s="5">
        <f t="shared" si="46"/>
        <v>4.8040210447332568</v>
      </c>
      <c r="R409" s="5">
        <f t="shared" si="46"/>
        <v>4.0253516907351496</v>
      </c>
      <c r="S409" s="5">
        <f t="shared" si="47"/>
        <v>0.3125</v>
      </c>
      <c r="T409" s="3">
        <f t="shared" si="48"/>
        <v>0</v>
      </c>
      <c r="U409" s="3" t="s">
        <v>96</v>
      </c>
      <c r="V409" s="3">
        <v>3</v>
      </c>
      <c r="W409" s="6">
        <v>6</v>
      </c>
      <c r="X409" s="4">
        <v>12</v>
      </c>
      <c r="Y409" s="5">
        <v>0.4</v>
      </c>
      <c r="Z409" s="5">
        <v>1</v>
      </c>
      <c r="AA409" s="3" t="s">
        <v>88</v>
      </c>
      <c r="AB409" s="3">
        <v>0</v>
      </c>
      <c r="AC409" s="3" t="s">
        <v>1134</v>
      </c>
      <c r="AD409" s="3">
        <v>0</v>
      </c>
      <c r="AE409" s="3" t="s">
        <v>98</v>
      </c>
      <c r="AF409" s="3">
        <v>0</v>
      </c>
      <c r="AG409" s="3" t="s">
        <v>98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7"/>
      <c r="BX409" s="7"/>
    </row>
    <row r="410" spans="1:76">
      <c r="A410" s="3" t="s">
        <v>1135</v>
      </c>
      <c r="B410" s="3">
        <v>4307</v>
      </c>
      <c r="C410" s="3" t="s">
        <v>1136</v>
      </c>
      <c r="D410" s="3">
        <v>1</v>
      </c>
      <c r="E410" s="4">
        <v>20</v>
      </c>
      <c r="F410" s="3" t="s">
        <v>87</v>
      </c>
      <c r="G410" s="3">
        <v>0</v>
      </c>
      <c r="H410" s="3">
        <v>0</v>
      </c>
      <c r="I410" s="4">
        <v>16</v>
      </c>
      <c r="J410" s="4">
        <v>2</v>
      </c>
      <c r="K410" s="4">
        <v>18</v>
      </c>
      <c r="L410" s="5">
        <f>IF(F410="F",65.79,IF(F410="M",79.94,""))</f>
        <v>65.790000000000006</v>
      </c>
      <c r="M410" s="3">
        <f t="shared" si="42"/>
        <v>0</v>
      </c>
      <c r="N410" s="3" t="str">
        <f t="shared" si="43"/>
        <v>VSC-non-halitosis</v>
      </c>
      <c r="O410" s="3" t="str">
        <f t="shared" si="44"/>
        <v>Clinical- / VSC-</v>
      </c>
      <c r="P410" s="5">
        <f t="shared" si="45"/>
        <v>2.8903717578961645</v>
      </c>
      <c r="Q410" s="5">
        <f t="shared" si="46"/>
        <v>2.8332133440562162</v>
      </c>
      <c r="R410" s="5">
        <f t="shared" si="46"/>
        <v>1.0986122886681098</v>
      </c>
      <c r="S410" s="5">
        <f t="shared" si="47"/>
        <v>0.1111111111111111</v>
      </c>
      <c r="T410" s="3">
        <f t="shared" si="48"/>
        <v>0</v>
      </c>
      <c r="U410" s="3" t="s">
        <v>79</v>
      </c>
      <c r="V410" s="3">
        <v>2</v>
      </c>
      <c r="W410" s="6">
        <v>6.4</v>
      </c>
      <c r="X410" s="4">
        <v>12</v>
      </c>
      <c r="Y410" s="5">
        <v>1.1000000000000001</v>
      </c>
      <c r="Z410" s="5">
        <v>2</v>
      </c>
      <c r="AA410" s="3" t="s">
        <v>88</v>
      </c>
      <c r="AB410" s="3">
        <v>0</v>
      </c>
      <c r="AC410" s="3" t="s">
        <v>1134</v>
      </c>
      <c r="AD410" s="3">
        <v>0</v>
      </c>
      <c r="AE410" s="3" t="s">
        <v>98</v>
      </c>
      <c r="AF410" s="3">
        <v>0</v>
      </c>
      <c r="AG410" s="3" t="s">
        <v>98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7"/>
      <c r="BX410" s="7"/>
    </row>
    <row r="411" spans="1:76">
      <c r="A411" s="3" t="s">
        <v>1137</v>
      </c>
      <c r="B411" s="3">
        <v>4332</v>
      </c>
      <c r="C411" s="3" t="s">
        <v>1138</v>
      </c>
      <c r="D411" s="3">
        <v>1</v>
      </c>
      <c r="E411" s="4">
        <v>77</v>
      </c>
      <c r="F411" s="3" t="s">
        <v>78</v>
      </c>
      <c r="G411" s="3">
        <v>0</v>
      </c>
      <c r="H411" s="3">
        <v>0</v>
      </c>
      <c r="I411" s="4">
        <v>11</v>
      </c>
      <c r="J411" s="4">
        <v>0</v>
      </c>
      <c r="K411" s="4">
        <v>11</v>
      </c>
      <c r="L411" s="5">
        <f>IF(F411="F",65.79,IF(F411="M",79.94,""))</f>
        <v>79.94</v>
      </c>
      <c r="M411" s="3">
        <f t="shared" si="42"/>
        <v>0</v>
      </c>
      <c r="N411" s="3" t="str">
        <f t="shared" si="43"/>
        <v>VSC-non-halitosis</v>
      </c>
      <c r="O411" s="3" t="str">
        <f t="shared" si="44"/>
        <v>Clinical- / VSC-</v>
      </c>
      <c r="P411" s="5">
        <f t="shared" si="45"/>
        <v>2.3978952727983707</v>
      </c>
      <c r="Q411" s="5">
        <f t="shared" si="46"/>
        <v>2.4849066497880004</v>
      </c>
      <c r="R411" s="5">
        <f t="shared" si="46"/>
        <v>0</v>
      </c>
      <c r="S411" s="5">
        <f t="shared" si="47"/>
        <v>0</v>
      </c>
      <c r="T411" s="3">
        <f t="shared" si="48"/>
        <v>0</v>
      </c>
      <c r="U411" s="3" t="s">
        <v>79</v>
      </c>
      <c r="V411" s="3">
        <v>2</v>
      </c>
      <c r="W411" s="6">
        <v>7.4</v>
      </c>
      <c r="X411" s="4">
        <v>12</v>
      </c>
      <c r="Y411" s="5">
        <v>1.5</v>
      </c>
      <c r="Z411" s="5">
        <v>3.3</v>
      </c>
      <c r="AA411" s="3" t="s">
        <v>88</v>
      </c>
      <c r="AB411" s="3">
        <v>0</v>
      </c>
      <c r="AC411" s="3" t="s">
        <v>1134</v>
      </c>
      <c r="AD411" s="3">
        <v>0</v>
      </c>
      <c r="AE411" s="3" t="s">
        <v>98</v>
      </c>
      <c r="AF411" s="3">
        <v>0</v>
      </c>
      <c r="AG411" s="3" t="s">
        <v>98</v>
      </c>
      <c r="AH411" s="3">
        <v>0</v>
      </c>
      <c r="AI411" s="3">
        <v>1</v>
      </c>
      <c r="AJ411" s="3">
        <v>1</v>
      </c>
      <c r="AK411" s="3">
        <v>1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1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1</v>
      </c>
      <c r="BS411" s="3">
        <v>0</v>
      </c>
      <c r="BT411" s="3">
        <v>0</v>
      </c>
      <c r="BU411" s="3">
        <v>0</v>
      </c>
      <c r="BV411" s="3">
        <v>0</v>
      </c>
      <c r="BW411" s="7" t="s">
        <v>812</v>
      </c>
      <c r="BX411" s="7" t="s">
        <v>1139</v>
      </c>
    </row>
    <row r="412" spans="1:76">
      <c r="A412" s="3" t="s">
        <v>1140</v>
      </c>
      <c r="B412" s="3">
        <v>6213</v>
      </c>
      <c r="C412" s="3" t="s">
        <v>1141</v>
      </c>
      <c r="D412" s="3">
        <v>1</v>
      </c>
      <c r="E412" s="4">
        <v>59</v>
      </c>
      <c r="F412" s="3" t="s">
        <v>87</v>
      </c>
      <c r="G412" s="3">
        <v>0</v>
      </c>
      <c r="H412" s="3">
        <v>1</v>
      </c>
      <c r="I412" s="4">
        <v>1</v>
      </c>
      <c r="J412" s="4">
        <v>1</v>
      </c>
      <c r="K412" s="4">
        <v>2</v>
      </c>
      <c r="L412" s="5">
        <f>IF(F412="F",65.79,IF(F412="M",79.94,""))</f>
        <v>65.790000000000006</v>
      </c>
      <c r="M412" s="3">
        <f t="shared" si="42"/>
        <v>0</v>
      </c>
      <c r="N412" s="3" t="str">
        <f t="shared" si="43"/>
        <v>VSC-non-halitosis</v>
      </c>
      <c r="O412" s="3" t="str">
        <f t="shared" si="44"/>
        <v>Clinical- / VSC-</v>
      </c>
      <c r="P412" s="5">
        <f t="shared" si="45"/>
        <v>0.69314718055994529</v>
      </c>
      <c r="Q412" s="5">
        <f t="shared" si="46"/>
        <v>0.69314718055994529</v>
      </c>
      <c r="R412" s="5">
        <f t="shared" si="46"/>
        <v>0.69314718055994529</v>
      </c>
      <c r="S412" s="5">
        <f t="shared" si="47"/>
        <v>0.5</v>
      </c>
      <c r="T412" s="3">
        <f t="shared" si="48"/>
        <v>0</v>
      </c>
      <c r="U412" s="3" t="s">
        <v>102</v>
      </c>
      <c r="V412" s="3">
        <v>1</v>
      </c>
      <c r="W412" s="6">
        <v>6.2</v>
      </c>
      <c r="X412" s="4">
        <v>12</v>
      </c>
      <c r="Y412" s="5">
        <v>0.25</v>
      </c>
      <c r="Z412" s="5">
        <v>1</v>
      </c>
      <c r="AA412" s="3" t="s">
        <v>80</v>
      </c>
      <c r="AB412" s="3">
        <v>0</v>
      </c>
      <c r="AC412" s="3" t="s">
        <v>81</v>
      </c>
      <c r="AD412" s="3">
        <v>0</v>
      </c>
      <c r="AE412" s="3" t="s">
        <v>82</v>
      </c>
      <c r="AF412" s="3">
        <v>1</v>
      </c>
      <c r="AG412" s="3" t="s">
        <v>98</v>
      </c>
      <c r="AH412" s="3">
        <v>0</v>
      </c>
      <c r="AI412" s="3">
        <v>1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1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7" t="s">
        <v>328</v>
      </c>
      <c r="BX412" s="7"/>
    </row>
    <row r="413" spans="1:76">
      <c r="A413" s="3" t="s">
        <v>1142</v>
      </c>
      <c r="B413" s="3">
        <v>4382</v>
      </c>
      <c r="C413" s="3" t="s">
        <v>1143</v>
      </c>
      <c r="D413" s="3">
        <v>1</v>
      </c>
      <c r="E413" s="4">
        <v>41</v>
      </c>
      <c r="F413" s="3" t="s">
        <v>78</v>
      </c>
      <c r="G413" s="3">
        <v>0</v>
      </c>
      <c r="H413" s="3">
        <v>0</v>
      </c>
      <c r="I413" s="4">
        <v>166</v>
      </c>
      <c r="J413" s="4">
        <v>3</v>
      </c>
      <c r="K413" s="4">
        <v>169</v>
      </c>
      <c r="L413" s="5">
        <f>IF(F413="F",65.79,IF(F413="M",79.94,""))</f>
        <v>79.94</v>
      </c>
      <c r="M413" s="3">
        <f t="shared" si="42"/>
        <v>1</v>
      </c>
      <c r="N413" s="3" t="str">
        <f t="shared" si="43"/>
        <v>VSC-halitosis</v>
      </c>
      <c r="O413" s="3" t="str">
        <f t="shared" si="44"/>
        <v>Clinical- / VSC+</v>
      </c>
      <c r="P413" s="5">
        <f t="shared" si="45"/>
        <v>5.1298987149230735</v>
      </c>
      <c r="Q413" s="5">
        <f t="shared" si="46"/>
        <v>5.1179938124167554</v>
      </c>
      <c r="R413" s="5">
        <f t="shared" si="46"/>
        <v>1.3862943611198906</v>
      </c>
      <c r="S413" s="5">
        <f t="shared" si="47"/>
        <v>1.7751479289940829E-2</v>
      </c>
      <c r="T413" s="3">
        <f t="shared" si="48"/>
        <v>0</v>
      </c>
      <c r="U413" s="3" t="s">
        <v>96</v>
      </c>
      <c r="V413" s="3">
        <v>3</v>
      </c>
      <c r="W413" s="6">
        <v>13</v>
      </c>
      <c r="X413" s="4">
        <v>12</v>
      </c>
      <c r="Y413" s="5">
        <v>0.7</v>
      </c>
      <c r="Z413" s="5">
        <v>1.44</v>
      </c>
      <c r="AA413" s="3" t="s">
        <v>88</v>
      </c>
      <c r="AB413" s="3">
        <v>0</v>
      </c>
      <c r="AC413" s="3" t="s">
        <v>81</v>
      </c>
      <c r="AD413" s="3">
        <v>0</v>
      </c>
      <c r="AE413" s="3" t="s">
        <v>82</v>
      </c>
      <c r="AF413" s="3">
        <v>1</v>
      </c>
      <c r="AG413" s="3" t="s">
        <v>82</v>
      </c>
      <c r="AH413" s="3">
        <v>1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7"/>
      <c r="BX413" s="7"/>
    </row>
    <row r="414" spans="1:76">
      <c r="A414" s="3" t="s">
        <v>1144</v>
      </c>
      <c r="B414" s="3">
        <v>4393</v>
      </c>
      <c r="C414" s="3" t="s">
        <v>1145</v>
      </c>
      <c r="D414" s="3">
        <v>1</v>
      </c>
      <c r="E414" s="4">
        <v>55</v>
      </c>
      <c r="F414" s="3" t="s">
        <v>87</v>
      </c>
      <c r="G414" s="3">
        <v>0</v>
      </c>
      <c r="H414" s="3">
        <v>0</v>
      </c>
      <c r="I414" s="4">
        <v>0</v>
      </c>
      <c r="J414" s="4">
        <v>1</v>
      </c>
      <c r="K414" s="4">
        <v>1</v>
      </c>
      <c r="L414" s="5">
        <f>IF(F414="F",65.79,IF(F414="M",79.94,""))</f>
        <v>65.790000000000006</v>
      </c>
      <c r="M414" s="3">
        <f t="shared" si="42"/>
        <v>0</v>
      </c>
      <c r="N414" s="3" t="str">
        <f t="shared" si="43"/>
        <v>VSC-non-halitosis</v>
      </c>
      <c r="O414" s="3" t="str">
        <f t="shared" si="44"/>
        <v>Clinical- / VSC-</v>
      </c>
      <c r="P414" s="5">
        <f t="shared" si="45"/>
        <v>0</v>
      </c>
      <c r="Q414" s="5">
        <f t="shared" si="46"/>
        <v>0</v>
      </c>
      <c r="R414" s="5">
        <f t="shared" si="46"/>
        <v>0.69314718055994529</v>
      </c>
      <c r="S414" s="5">
        <f t="shared" si="47"/>
        <v>1</v>
      </c>
      <c r="T414" s="3">
        <f t="shared" si="48"/>
        <v>1</v>
      </c>
      <c r="U414" s="3" t="s">
        <v>102</v>
      </c>
      <c r="V414" s="3">
        <v>1</v>
      </c>
      <c r="W414" s="6">
        <v>6.8</v>
      </c>
      <c r="X414" s="4">
        <v>9</v>
      </c>
      <c r="Y414" s="5">
        <v>0.4</v>
      </c>
      <c r="Z414" s="5">
        <v>1.2</v>
      </c>
      <c r="AA414" s="3" t="s">
        <v>208</v>
      </c>
      <c r="AB414" s="3">
        <v>1</v>
      </c>
      <c r="AC414" s="3" t="s">
        <v>113</v>
      </c>
      <c r="AD414" s="3">
        <v>0</v>
      </c>
      <c r="AE414" s="3" t="s">
        <v>98</v>
      </c>
      <c r="AF414" s="3">
        <v>0</v>
      </c>
      <c r="AG414" s="3" t="s">
        <v>98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7"/>
      <c r="BX414" s="7" t="s">
        <v>1146</v>
      </c>
    </row>
    <row r="415" spans="1:76" ht="34">
      <c r="A415" s="3" t="s">
        <v>1147</v>
      </c>
      <c r="B415" s="3">
        <v>4395</v>
      </c>
      <c r="C415" s="3" t="s">
        <v>1148</v>
      </c>
      <c r="D415" s="3">
        <v>1</v>
      </c>
      <c r="E415" s="4">
        <v>66</v>
      </c>
      <c r="F415" s="3" t="s">
        <v>87</v>
      </c>
      <c r="G415" s="3">
        <v>0</v>
      </c>
      <c r="H415" s="3">
        <v>0</v>
      </c>
      <c r="I415" s="4">
        <v>0</v>
      </c>
      <c r="J415" s="4">
        <v>5</v>
      </c>
      <c r="K415" s="4">
        <v>5</v>
      </c>
      <c r="L415" s="5">
        <f>IF(F415="F",65.79,IF(F415="M",79.94,""))</f>
        <v>65.790000000000006</v>
      </c>
      <c r="M415" s="3">
        <f t="shared" si="42"/>
        <v>0</v>
      </c>
      <c r="N415" s="3" t="str">
        <f t="shared" si="43"/>
        <v>VSC-non-halitosis</v>
      </c>
      <c r="O415" s="3" t="str">
        <f t="shared" si="44"/>
        <v>Clinical- / VSC-</v>
      </c>
      <c r="P415" s="5">
        <f t="shared" si="45"/>
        <v>1.6094379124341003</v>
      </c>
      <c r="Q415" s="5">
        <f t="shared" si="46"/>
        <v>0</v>
      </c>
      <c r="R415" s="5">
        <f t="shared" si="46"/>
        <v>1.791759469228055</v>
      </c>
      <c r="S415" s="5">
        <f t="shared" si="47"/>
        <v>1</v>
      </c>
      <c r="T415" s="3">
        <f t="shared" si="48"/>
        <v>1</v>
      </c>
      <c r="U415" s="3" t="s">
        <v>79</v>
      </c>
      <c r="V415" s="3">
        <v>2</v>
      </c>
      <c r="W415" s="6">
        <v>6.8</v>
      </c>
      <c r="X415" s="4">
        <v>12</v>
      </c>
      <c r="Y415" s="5">
        <v>0.8</v>
      </c>
      <c r="Z415" s="5">
        <v>1.6</v>
      </c>
      <c r="AA415" s="3" t="s">
        <v>88</v>
      </c>
      <c r="AB415" s="3">
        <v>0</v>
      </c>
      <c r="AC415" s="3" t="s">
        <v>81</v>
      </c>
      <c r="AD415" s="3">
        <v>0</v>
      </c>
      <c r="AE415" s="3" t="s">
        <v>82</v>
      </c>
      <c r="AF415" s="3">
        <v>1</v>
      </c>
      <c r="AG415" s="3" t="s">
        <v>98</v>
      </c>
      <c r="AH415" s="3">
        <v>0</v>
      </c>
      <c r="AI415" s="3">
        <v>1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1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7"/>
      <c r="BX415" s="7" t="s">
        <v>1149</v>
      </c>
    </row>
    <row r="416" spans="1:76">
      <c r="A416" s="3" t="s">
        <v>1150</v>
      </c>
      <c r="B416" s="3">
        <v>4394</v>
      </c>
      <c r="C416" s="3" t="s">
        <v>1151</v>
      </c>
      <c r="D416" s="3">
        <v>1</v>
      </c>
      <c r="E416" s="4">
        <v>60</v>
      </c>
      <c r="F416" s="3" t="s">
        <v>87</v>
      </c>
      <c r="G416" s="3">
        <v>0</v>
      </c>
      <c r="H416" s="3">
        <v>0</v>
      </c>
      <c r="I416" s="4">
        <v>97</v>
      </c>
      <c r="J416" s="4">
        <v>165</v>
      </c>
      <c r="K416" s="4">
        <v>262</v>
      </c>
      <c r="L416" s="5">
        <f>IF(F416="F",65.79,IF(F416="M",79.94,""))</f>
        <v>65.790000000000006</v>
      </c>
      <c r="M416" s="3">
        <f t="shared" si="42"/>
        <v>1</v>
      </c>
      <c r="N416" s="3" t="str">
        <f t="shared" si="43"/>
        <v>VSC-halitosis</v>
      </c>
      <c r="O416" s="3" t="str">
        <f t="shared" si="44"/>
        <v>Clinical- / VSC+</v>
      </c>
      <c r="P416" s="5">
        <f t="shared" si="45"/>
        <v>5.5683445037610966</v>
      </c>
      <c r="Q416" s="5">
        <f t="shared" si="46"/>
        <v>4.5849674786705723</v>
      </c>
      <c r="R416" s="5">
        <f t="shared" si="46"/>
        <v>5.1119877883565437</v>
      </c>
      <c r="S416" s="5">
        <f t="shared" si="47"/>
        <v>0.62977099236641221</v>
      </c>
      <c r="T416" s="3">
        <f t="shared" si="48"/>
        <v>1</v>
      </c>
      <c r="U416" s="3" t="s">
        <v>96</v>
      </c>
      <c r="V416" s="3">
        <v>3</v>
      </c>
      <c r="W416" s="6">
        <v>7</v>
      </c>
      <c r="X416" s="4">
        <v>12</v>
      </c>
      <c r="Y416" s="5">
        <v>0.4</v>
      </c>
      <c r="Z416" s="5">
        <v>0.8</v>
      </c>
      <c r="AA416" s="3" t="s">
        <v>88</v>
      </c>
      <c r="AB416" s="3">
        <v>0</v>
      </c>
      <c r="AC416" s="3" t="s">
        <v>81</v>
      </c>
      <c r="AD416" s="3">
        <v>0</v>
      </c>
      <c r="AE416" s="3" t="s">
        <v>98</v>
      </c>
      <c r="AF416" s="3">
        <v>0</v>
      </c>
      <c r="AG416" s="3" t="s">
        <v>82</v>
      </c>
      <c r="AH416" s="3">
        <v>1</v>
      </c>
      <c r="AI416" s="3">
        <v>2</v>
      </c>
      <c r="AJ416" s="3">
        <v>0</v>
      </c>
      <c r="AK416" s="3">
        <v>0</v>
      </c>
      <c r="AL416" s="3">
        <v>1</v>
      </c>
      <c r="AM416" s="3">
        <v>1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7" t="s">
        <v>134</v>
      </c>
      <c r="BX416" s="7"/>
    </row>
    <row r="417" spans="1:76">
      <c r="A417" s="3" t="s">
        <v>1152</v>
      </c>
      <c r="B417" s="3">
        <v>4423</v>
      </c>
      <c r="C417" s="3" t="s">
        <v>1153</v>
      </c>
      <c r="D417" s="3">
        <v>1</v>
      </c>
      <c r="E417" s="4">
        <v>51</v>
      </c>
      <c r="F417" s="3" t="s">
        <v>87</v>
      </c>
      <c r="G417" s="3">
        <v>0</v>
      </c>
      <c r="H417" s="3">
        <v>0</v>
      </c>
      <c r="I417" s="4">
        <v>1</v>
      </c>
      <c r="J417" s="4">
        <v>10</v>
      </c>
      <c r="K417" s="4">
        <v>11</v>
      </c>
      <c r="L417" s="5">
        <f>IF(F417="F",65.79,IF(F417="M",79.94,""))</f>
        <v>65.790000000000006</v>
      </c>
      <c r="M417" s="3">
        <f t="shared" si="42"/>
        <v>0</v>
      </c>
      <c r="N417" s="3" t="str">
        <f t="shared" si="43"/>
        <v>VSC-non-halitosis</v>
      </c>
      <c r="O417" s="3" t="str">
        <f t="shared" si="44"/>
        <v>Clinical- / VSC-</v>
      </c>
      <c r="P417" s="5">
        <f t="shared" si="45"/>
        <v>2.3978952727983707</v>
      </c>
      <c r="Q417" s="5">
        <f t="shared" si="46"/>
        <v>0.69314718055994529</v>
      </c>
      <c r="R417" s="5">
        <f t="shared" si="46"/>
        <v>2.3978952727983707</v>
      </c>
      <c r="S417" s="5">
        <f t="shared" si="47"/>
        <v>0.90909090909090906</v>
      </c>
      <c r="T417" s="3">
        <f t="shared" si="48"/>
        <v>1</v>
      </c>
      <c r="U417" s="3" t="s">
        <v>79</v>
      </c>
      <c r="V417" s="3">
        <v>2</v>
      </c>
      <c r="W417" s="6">
        <v>6.4</v>
      </c>
      <c r="X417" s="4">
        <v>4</v>
      </c>
      <c r="Y417" s="5">
        <v>0.25</v>
      </c>
      <c r="Z417" s="5">
        <v>2</v>
      </c>
      <c r="AA417" s="3" t="s">
        <v>88</v>
      </c>
      <c r="AB417" s="3">
        <v>0</v>
      </c>
      <c r="AC417" s="3" t="s">
        <v>1134</v>
      </c>
      <c r="AD417" s="3">
        <v>0</v>
      </c>
      <c r="AE417" s="3" t="s">
        <v>82</v>
      </c>
      <c r="AF417" s="3">
        <v>1</v>
      </c>
      <c r="AG417" s="3" t="s">
        <v>82</v>
      </c>
      <c r="AH417" s="3">
        <v>1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7"/>
      <c r="BX417" s="7"/>
    </row>
    <row r="418" spans="1:76">
      <c r="A418" s="3" t="s">
        <v>1154</v>
      </c>
      <c r="B418" s="3">
        <v>4424</v>
      </c>
      <c r="C418" s="3" t="s">
        <v>1155</v>
      </c>
      <c r="D418" s="3">
        <v>1</v>
      </c>
      <c r="E418" s="4">
        <v>70</v>
      </c>
      <c r="F418" s="3" t="s">
        <v>87</v>
      </c>
      <c r="G418" s="3">
        <v>0</v>
      </c>
      <c r="H418" s="3">
        <v>0</v>
      </c>
      <c r="I418" s="4">
        <v>0</v>
      </c>
      <c r="J418" s="4">
        <v>8</v>
      </c>
      <c r="K418" s="4">
        <v>8</v>
      </c>
      <c r="L418" s="5">
        <f>IF(F418="F",65.79,IF(F418="M",79.94,""))</f>
        <v>65.790000000000006</v>
      </c>
      <c r="M418" s="3">
        <f t="shared" si="42"/>
        <v>0</v>
      </c>
      <c r="N418" s="3" t="str">
        <f t="shared" si="43"/>
        <v>VSC-non-halitosis</v>
      </c>
      <c r="O418" s="3" t="str">
        <f t="shared" si="44"/>
        <v>Clinical- / VSC-</v>
      </c>
      <c r="P418" s="5">
        <f t="shared" si="45"/>
        <v>2.0794415416798357</v>
      </c>
      <c r="Q418" s="5">
        <f t="shared" si="46"/>
        <v>0</v>
      </c>
      <c r="R418" s="5">
        <f t="shared" si="46"/>
        <v>2.1972245773362196</v>
      </c>
      <c r="S418" s="5">
        <f t="shared" si="47"/>
        <v>1</v>
      </c>
      <c r="T418" s="3">
        <f t="shared" si="48"/>
        <v>1</v>
      </c>
      <c r="U418" s="3" t="s">
        <v>79</v>
      </c>
      <c r="V418" s="3">
        <v>2</v>
      </c>
      <c r="W418" s="6">
        <v>6.4</v>
      </c>
      <c r="X418" s="4">
        <v>10</v>
      </c>
      <c r="Y418" s="5">
        <v>0.5</v>
      </c>
      <c r="Z418" s="5">
        <v>1.5</v>
      </c>
      <c r="AA418" s="3" t="s">
        <v>88</v>
      </c>
      <c r="AB418" s="3">
        <v>0</v>
      </c>
      <c r="AC418" s="3" t="s">
        <v>81</v>
      </c>
      <c r="AD418" s="3">
        <v>0</v>
      </c>
      <c r="AE418" s="3" t="s">
        <v>82</v>
      </c>
      <c r="AF418" s="3">
        <v>1</v>
      </c>
      <c r="AG418" s="3" t="s">
        <v>82</v>
      </c>
      <c r="AH418" s="3">
        <v>1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7"/>
      <c r="BX418" s="7"/>
    </row>
    <row r="419" spans="1:76">
      <c r="A419" s="3" t="s">
        <v>1156</v>
      </c>
      <c r="B419" s="3">
        <v>4427</v>
      </c>
      <c r="C419" s="3" t="s">
        <v>1157</v>
      </c>
      <c r="D419" s="3">
        <v>1</v>
      </c>
      <c r="E419" s="4">
        <v>79</v>
      </c>
      <c r="F419" s="3" t="s">
        <v>78</v>
      </c>
      <c r="G419" s="3">
        <v>0</v>
      </c>
      <c r="H419" s="3">
        <v>0</v>
      </c>
      <c r="I419" s="4">
        <v>4</v>
      </c>
      <c r="J419" s="4">
        <v>1</v>
      </c>
      <c r="K419" s="4">
        <v>5</v>
      </c>
      <c r="L419" s="5">
        <f>IF(F419="F",65.79,IF(F419="M",79.94,""))</f>
        <v>79.94</v>
      </c>
      <c r="M419" s="3">
        <f t="shared" si="42"/>
        <v>0</v>
      </c>
      <c r="N419" s="3" t="str">
        <f t="shared" si="43"/>
        <v>VSC-non-halitosis</v>
      </c>
      <c r="O419" s="3" t="str">
        <f t="shared" si="44"/>
        <v>Clinical- / VSC-</v>
      </c>
      <c r="P419" s="5">
        <f t="shared" si="45"/>
        <v>1.6094379124341003</v>
      </c>
      <c r="Q419" s="5">
        <f t="shared" si="46"/>
        <v>1.6094379124341003</v>
      </c>
      <c r="R419" s="5">
        <f t="shared" si="46"/>
        <v>0.69314718055994529</v>
      </c>
      <c r="S419" s="5">
        <f t="shared" si="47"/>
        <v>0.2</v>
      </c>
      <c r="T419" s="3">
        <f t="shared" si="48"/>
        <v>0</v>
      </c>
      <c r="U419" s="3" t="s">
        <v>79</v>
      </c>
      <c r="V419" s="3">
        <v>2</v>
      </c>
      <c r="W419" s="6">
        <v>6.4</v>
      </c>
      <c r="X419" s="4">
        <v>8</v>
      </c>
      <c r="Y419" s="5">
        <v>0.5</v>
      </c>
      <c r="Z419" s="5">
        <v>3</v>
      </c>
      <c r="AA419" s="3" t="s">
        <v>88</v>
      </c>
      <c r="AB419" s="3">
        <v>0</v>
      </c>
      <c r="AC419" s="3" t="s">
        <v>81</v>
      </c>
      <c r="AD419" s="3">
        <v>0</v>
      </c>
      <c r="AE419" s="3" t="s">
        <v>82</v>
      </c>
      <c r="AF419" s="3">
        <v>1</v>
      </c>
      <c r="AG419" s="3" t="s">
        <v>82</v>
      </c>
      <c r="AH419" s="3">
        <v>1</v>
      </c>
      <c r="AI419" s="3">
        <v>2</v>
      </c>
      <c r="AJ419" s="3">
        <v>1</v>
      </c>
      <c r="AK419" s="3">
        <v>0</v>
      </c>
      <c r="AL419" s="3">
        <v>1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1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1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7" t="s">
        <v>1158</v>
      </c>
      <c r="BX419" s="7" t="s">
        <v>1159</v>
      </c>
    </row>
    <row r="420" spans="1:76">
      <c r="A420" s="3" t="s">
        <v>1160</v>
      </c>
      <c r="B420" s="3">
        <v>4455</v>
      </c>
      <c r="C420" s="3" t="s">
        <v>1161</v>
      </c>
      <c r="D420" s="3">
        <v>2</v>
      </c>
      <c r="E420" s="4">
        <v>32</v>
      </c>
      <c r="F420" s="3" t="s">
        <v>87</v>
      </c>
      <c r="G420" s="3">
        <v>1</v>
      </c>
      <c r="H420" s="3">
        <v>0</v>
      </c>
      <c r="I420" s="4">
        <v>10</v>
      </c>
      <c r="J420" s="4">
        <v>3</v>
      </c>
      <c r="K420" s="4">
        <v>13</v>
      </c>
      <c r="L420" s="5">
        <f>IF(F420="F",65.79,IF(F420="M",79.94,""))</f>
        <v>65.790000000000006</v>
      </c>
      <c r="M420" s="3">
        <f t="shared" si="42"/>
        <v>0</v>
      </c>
      <c r="N420" s="3" t="str">
        <f t="shared" si="43"/>
        <v>VSC-non-halitosis</v>
      </c>
      <c r="O420" s="3" t="str">
        <f t="shared" si="44"/>
        <v>Clinical+ / VSC-</v>
      </c>
      <c r="P420" s="5">
        <f t="shared" si="45"/>
        <v>2.5649493574615367</v>
      </c>
      <c r="Q420" s="5">
        <f t="shared" si="46"/>
        <v>2.3978952727983707</v>
      </c>
      <c r="R420" s="5">
        <f t="shared" si="46"/>
        <v>1.3862943611198906</v>
      </c>
      <c r="S420" s="5">
        <f t="shared" si="47"/>
        <v>0.23076923076923078</v>
      </c>
      <c r="T420" s="3">
        <f t="shared" si="48"/>
        <v>0</v>
      </c>
      <c r="U420" s="3" t="s">
        <v>79</v>
      </c>
      <c r="V420" s="3">
        <v>2</v>
      </c>
      <c r="W420" s="6">
        <v>6.6</v>
      </c>
      <c r="X420" s="4">
        <v>8</v>
      </c>
      <c r="Y420" s="5">
        <v>0.35</v>
      </c>
      <c r="Z420" s="5">
        <v>1.4</v>
      </c>
      <c r="AA420" s="3" t="s">
        <v>88</v>
      </c>
      <c r="AB420" s="3">
        <v>0</v>
      </c>
      <c r="AC420" s="3" t="s">
        <v>81</v>
      </c>
      <c r="AD420" s="3">
        <v>0</v>
      </c>
      <c r="AE420" s="3" t="s">
        <v>82</v>
      </c>
      <c r="AF420" s="3">
        <v>1</v>
      </c>
      <c r="AG420" s="3" t="s">
        <v>98</v>
      </c>
      <c r="AH420" s="3">
        <v>0</v>
      </c>
      <c r="AI420" s="3">
        <v>1</v>
      </c>
      <c r="AJ420" s="3">
        <v>1</v>
      </c>
      <c r="AK420" s="3">
        <v>1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1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1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7" t="s">
        <v>1162</v>
      </c>
      <c r="BX420" s="7"/>
    </row>
    <row r="421" spans="1:76">
      <c r="A421" s="3" t="s">
        <v>1163</v>
      </c>
      <c r="B421" s="3">
        <v>4455</v>
      </c>
      <c r="C421" s="3" t="s">
        <v>1161</v>
      </c>
      <c r="D421" s="3">
        <v>2</v>
      </c>
      <c r="E421" s="4">
        <v>32</v>
      </c>
      <c r="F421" s="3" t="s">
        <v>87</v>
      </c>
      <c r="G421" s="3">
        <v>1</v>
      </c>
      <c r="H421" s="3">
        <v>0</v>
      </c>
      <c r="I421" s="4">
        <v>10</v>
      </c>
      <c r="J421" s="4">
        <v>3</v>
      </c>
      <c r="K421" s="4">
        <v>13</v>
      </c>
      <c r="L421" s="5">
        <f>IF(F421="F",65.79,IF(F421="M",79.94,""))</f>
        <v>65.790000000000006</v>
      </c>
      <c r="M421" s="3">
        <f t="shared" si="42"/>
        <v>0</v>
      </c>
      <c r="N421" s="3" t="str">
        <f t="shared" si="43"/>
        <v>VSC-non-halitosis</v>
      </c>
      <c r="O421" s="3" t="str">
        <f t="shared" si="44"/>
        <v>Clinical+ / VSC-</v>
      </c>
      <c r="P421" s="5">
        <f t="shared" si="45"/>
        <v>2.5649493574615367</v>
      </c>
      <c r="Q421" s="5">
        <f t="shared" si="46"/>
        <v>2.3978952727983707</v>
      </c>
      <c r="R421" s="5">
        <f t="shared" si="46"/>
        <v>1.3862943611198906</v>
      </c>
      <c r="S421" s="5">
        <f t="shared" si="47"/>
        <v>0.23076923076923078</v>
      </c>
      <c r="T421" s="3">
        <f t="shared" si="48"/>
        <v>0</v>
      </c>
      <c r="U421" s="3" t="s">
        <v>79</v>
      </c>
      <c r="V421" s="3">
        <v>2</v>
      </c>
      <c r="W421" s="6">
        <v>5.8</v>
      </c>
      <c r="X421" s="4">
        <v>10</v>
      </c>
      <c r="Y421" s="5">
        <v>0.2</v>
      </c>
      <c r="Z421" s="5">
        <v>1</v>
      </c>
      <c r="AA421" s="3" t="s">
        <v>88</v>
      </c>
      <c r="AB421" s="3">
        <v>0</v>
      </c>
      <c r="AC421" s="3" t="s">
        <v>81</v>
      </c>
      <c r="AD421" s="3">
        <v>0</v>
      </c>
      <c r="AE421" s="3" t="s">
        <v>82</v>
      </c>
      <c r="AF421" s="3">
        <v>1</v>
      </c>
      <c r="AG421" s="3" t="s">
        <v>98</v>
      </c>
      <c r="AH421" s="3">
        <v>0</v>
      </c>
      <c r="AI421" s="3">
        <v>1</v>
      </c>
      <c r="AJ421" s="3">
        <v>1</v>
      </c>
      <c r="AK421" s="3">
        <v>1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1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1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7" t="s">
        <v>1162</v>
      </c>
      <c r="BX421" s="7"/>
    </row>
    <row r="422" spans="1:76">
      <c r="A422" s="3" t="s">
        <v>1164</v>
      </c>
      <c r="B422" s="3">
        <v>4502</v>
      </c>
      <c r="C422" s="3" t="s">
        <v>1165</v>
      </c>
      <c r="D422" s="3">
        <v>1</v>
      </c>
      <c r="E422" s="4">
        <v>65</v>
      </c>
      <c r="F422" s="3" t="s">
        <v>87</v>
      </c>
      <c r="G422" s="3">
        <v>0</v>
      </c>
      <c r="H422" s="3">
        <v>0</v>
      </c>
      <c r="I422" s="4">
        <v>23</v>
      </c>
      <c r="J422" s="4">
        <v>1</v>
      </c>
      <c r="K422" s="4">
        <v>24</v>
      </c>
      <c r="L422" s="5">
        <f>IF(F422="F",65.79,IF(F422="M",79.94,""))</f>
        <v>65.790000000000006</v>
      </c>
      <c r="M422" s="3">
        <f t="shared" si="42"/>
        <v>0</v>
      </c>
      <c r="N422" s="3" t="str">
        <f t="shared" si="43"/>
        <v>VSC-non-halitosis</v>
      </c>
      <c r="O422" s="3" t="str">
        <f t="shared" si="44"/>
        <v>Clinical- / VSC-</v>
      </c>
      <c r="P422" s="5">
        <f t="shared" si="45"/>
        <v>3.1780538303479458</v>
      </c>
      <c r="Q422" s="5">
        <f t="shared" si="46"/>
        <v>3.1780538303479458</v>
      </c>
      <c r="R422" s="5">
        <f t="shared" si="46"/>
        <v>0.69314718055994529</v>
      </c>
      <c r="S422" s="5">
        <f t="shared" si="47"/>
        <v>4.1666666666666664E-2</v>
      </c>
      <c r="T422" s="3">
        <f t="shared" si="48"/>
        <v>0</v>
      </c>
      <c r="U422" s="3" t="s">
        <v>79</v>
      </c>
      <c r="V422" s="3">
        <v>2</v>
      </c>
      <c r="W422" s="6">
        <v>7.6</v>
      </c>
      <c r="X422" s="4">
        <v>9</v>
      </c>
      <c r="Y422" s="5">
        <v>0.7</v>
      </c>
      <c r="Z422" s="5">
        <v>2.4</v>
      </c>
      <c r="AA422" s="3" t="s">
        <v>88</v>
      </c>
      <c r="AB422" s="3">
        <v>0</v>
      </c>
      <c r="AC422" s="3" t="s">
        <v>81</v>
      </c>
      <c r="AD422" s="3">
        <v>0</v>
      </c>
      <c r="AE422" s="3" t="s">
        <v>82</v>
      </c>
      <c r="AF422" s="3">
        <v>1</v>
      </c>
      <c r="AG422" s="3" t="s">
        <v>82</v>
      </c>
      <c r="AH422" s="3">
        <v>1</v>
      </c>
      <c r="AI422" s="3">
        <v>2</v>
      </c>
      <c r="AJ422" s="3">
        <v>2</v>
      </c>
      <c r="AK422" s="3">
        <v>1</v>
      </c>
      <c r="AL422" s="3">
        <v>1</v>
      </c>
      <c r="AM422" s="3">
        <v>0</v>
      </c>
      <c r="AN422" s="3">
        <v>1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1</v>
      </c>
      <c r="BG422" s="3">
        <v>1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7" t="s">
        <v>186</v>
      </c>
      <c r="BX422" s="7" t="s">
        <v>1166</v>
      </c>
    </row>
    <row r="423" spans="1:76">
      <c r="A423" s="3" t="s">
        <v>1167</v>
      </c>
      <c r="B423" s="3">
        <v>4512</v>
      </c>
      <c r="C423" s="3" t="s">
        <v>1168</v>
      </c>
      <c r="D423" s="3">
        <v>1</v>
      </c>
      <c r="E423" s="4">
        <v>65</v>
      </c>
      <c r="F423" s="3" t="s">
        <v>87</v>
      </c>
      <c r="G423" s="3">
        <v>0</v>
      </c>
      <c r="H423" s="3">
        <v>0</v>
      </c>
      <c r="I423" s="4">
        <v>50</v>
      </c>
      <c r="J423" s="4">
        <v>74</v>
      </c>
      <c r="K423" s="4">
        <v>124</v>
      </c>
      <c r="L423" s="5">
        <f>IF(F423="F",65.79,IF(F423="M",79.94,""))</f>
        <v>65.790000000000006</v>
      </c>
      <c r="M423" s="3">
        <f t="shared" si="42"/>
        <v>1</v>
      </c>
      <c r="N423" s="3" t="str">
        <f t="shared" si="43"/>
        <v>VSC-halitosis</v>
      </c>
      <c r="O423" s="3" t="str">
        <f t="shared" si="44"/>
        <v>Clinical- / VSC+</v>
      </c>
      <c r="P423" s="5">
        <f t="shared" si="45"/>
        <v>4.8202815656050371</v>
      </c>
      <c r="Q423" s="5">
        <f t="shared" si="46"/>
        <v>3.9318256327243257</v>
      </c>
      <c r="R423" s="5">
        <f t="shared" si="46"/>
        <v>4.3174881135363101</v>
      </c>
      <c r="S423" s="5">
        <f t="shared" si="47"/>
        <v>0.59677419354838712</v>
      </c>
      <c r="T423" s="3">
        <f t="shared" si="48"/>
        <v>1</v>
      </c>
      <c r="U423" s="3" t="s">
        <v>96</v>
      </c>
      <c r="V423" s="3">
        <v>3</v>
      </c>
      <c r="W423" s="6">
        <v>7</v>
      </c>
      <c r="X423" s="4">
        <v>7</v>
      </c>
      <c r="Y423" s="5">
        <v>0.4</v>
      </c>
      <c r="Z423" s="5">
        <v>1.4</v>
      </c>
      <c r="AA423" s="3" t="s">
        <v>208</v>
      </c>
      <c r="AB423" s="3">
        <v>1</v>
      </c>
      <c r="AC423" s="3" t="s">
        <v>138</v>
      </c>
      <c r="AD423" s="3">
        <v>1</v>
      </c>
      <c r="AE423" s="3" t="s">
        <v>82</v>
      </c>
      <c r="AF423" s="3">
        <v>1</v>
      </c>
      <c r="AG423" s="3" t="s">
        <v>103</v>
      </c>
      <c r="AH423" s="3">
        <v>1</v>
      </c>
      <c r="AI423" s="3">
        <v>2</v>
      </c>
      <c r="AJ423" s="3">
        <v>1</v>
      </c>
      <c r="AK423" s="3">
        <v>1</v>
      </c>
      <c r="AL423" s="3">
        <v>1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1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1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7" t="s">
        <v>186</v>
      </c>
      <c r="BX423" s="7" t="s">
        <v>1169</v>
      </c>
    </row>
    <row r="424" spans="1:76">
      <c r="A424" s="3" t="s">
        <v>1170</v>
      </c>
      <c r="B424" s="3">
        <v>4516</v>
      </c>
      <c r="C424" s="3" t="s">
        <v>1171</v>
      </c>
      <c r="D424" s="3">
        <v>1</v>
      </c>
      <c r="E424" s="4">
        <v>73</v>
      </c>
      <c r="F424" s="3" t="s">
        <v>87</v>
      </c>
      <c r="G424" s="3">
        <v>0</v>
      </c>
      <c r="H424" s="3">
        <v>1</v>
      </c>
      <c r="I424" s="4">
        <v>1</v>
      </c>
      <c r="J424" s="4">
        <v>0</v>
      </c>
      <c r="K424" s="4">
        <v>1</v>
      </c>
      <c r="L424" s="5">
        <f>IF(F424="F",65.79,IF(F424="M",79.94,""))</f>
        <v>65.790000000000006</v>
      </c>
      <c r="M424" s="3">
        <f t="shared" si="42"/>
        <v>0</v>
      </c>
      <c r="N424" s="3" t="str">
        <f t="shared" si="43"/>
        <v>VSC-non-halitosis</v>
      </c>
      <c r="O424" s="3" t="str">
        <f t="shared" si="44"/>
        <v>Clinical- / VSC-</v>
      </c>
      <c r="P424" s="5">
        <f t="shared" si="45"/>
        <v>0</v>
      </c>
      <c r="Q424" s="5">
        <f t="shared" si="46"/>
        <v>0.69314718055994529</v>
      </c>
      <c r="R424" s="5">
        <f t="shared" si="46"/>
        <v>0</v>
      </c>
      <c r="S424" s="5">
        <f t="shared" si="47"/>
        <v>0</v>
      </c>
      <c r="T424" s="3">
        <f t="shared" si="48"/>
        <v>0</v>
      </c>
      <c r="U424" s="3" t="s">
        <v>102</v>
      </c>
      <c r="V424" s="3">
        <v>1</v>
      </c>
      <c r="W424" s="6">
        <v>5.8</v>
      </c>
      <c r="X424" s="4">
        <v>12</v>
      </c>
      <c r="Y424" s="5">
        <v>0.1</v>
      </c>
      <c r="Z424" s="5">
        <v>0.8</v>
      </c>
      <c r="AA424" s="3" t="s">
        <v>208</v>
      </c>
      <c r="AB424" s="3">
        <v>1</v>
      </c>
      <c r="AC424" s="3" t="s">
        <v>81</v>
      </c>
      <c r="AD424" s="3">
        <v>0</v>
      </c>
      <c r="AE424" s="3" t="s">
        <v>82</v>
      </c>
      <c r="AF424" s="3">
        <v>1</v>
      </c>
      <c r="AG424" s="3" t="s">
        <v>98</v>
      </c>
      <c r="AH424" s="3">
        <v>0</v>
      </c>
      <c r="AI424" s="3">
        <v>3</v>
      </c>
      <c r="AJ424" s="3">
        <v>1</v>
      </c>
      <c r="AK424" s="3">
        <v>0</v>
      </c>
      <c r="AL424" s="3">
        <v>1</v>
      </c>
      <c r="AM424" s="3">
        <v>0</v>
      </c>
      <c r="AN424" s="3">
        <v>0</v>
      </c>
      <c r="AO424" s="3">
        <v>0</v>
      </c>
      <c r="AP424" s="3">
        <v>0</v>
      </c>
      <c r="AQ424" s="3">
        <v>1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1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1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7" t="s">
        <v>1172</v>
      </c>
      <c r="BX424" s="7" t="s">
        <v>1173</v>
      </c>
    </row>
    <row r="425" spans="1:76" ht="34">
      <c r="A425" s="3" t="s">
        <v>1174</v>
      </c>
      <c r="B425" s="3">
        <v>4548</v>
      </c>
      <c r="C425" s="3" t="s">
        <v>1175</v>
      </c>
      <c r="D425" s="3">
        <v>1</v>
      </c>
      <c r="E425" s="4">
        <v>79</v>
      </c>
      <c r="F425" s="3" t="s">
        <v>87</v>
      </c>
      <c r="G425" s="3">
        <v>0</v>
      </c>
      <c r="H425" s="3">
        <v>0</v>
      </c>
      <c r="I425" s="4">
        <v>4</v>
      </c>
      <c r="J425" s="4">
        <v>1</v>
      </c>
      <c r="K425" s="4">
        <v>5</v>
      </c>
      <c r="L425" s="5">
        <f>IF(F425="F",65.79,IF(F425="M",79.94,""))</f>
        <v>65.790000000000006</v>
      </c>
      <c r="M425" s="3">
        <f t="shared" si="42"/>
        <v>0</v>
      </c>
      <c r="N425" s="3" t="str">
        <f t="shared" si="43"/>
        <v>VSC-non-halitosis</v>
      </c>
      <c r="O425" s="3" t="str">
        <f t="shared" si="44"/>
        <v>Clinical- / VSC-</v>
      </c>
      <c r="P425" s="5">
        <f t="shared" si="45"/>
        <v>1.6094379124341003</v>
      </c>
      <c r="Q425" s="5">
        <f t="shared" si="46"/>
        <v>1.6094379124341003</v>
      </c>
      <c r="R425" s="5">
        <f t="shared" si="46"/>
        <v>0.69314718055994529</v>
      </c>
      <c r="S425" s="5">
        <f t="shared" si="47"/>
        <v>0.2</v>
      </c>
      <c r="T425" s="3">
        <f t="shared" si="48"/>
        <v>0</v>
      </c>
      <c r="U425" s="3" t="s">
        <v>79</v>
      </c>
      <c r="V425" s="3">
        <v>2</v>
      </c>
      <c r="W425" s="6">
        <v>7</v>
      </c>
      <c r="X425" s="4">
        <v>9</v>
      </c>
      <c r="Y425" s="5">
        <v>0.2</v>
      </c>
      <c r="Z425" s="5">
        <v>0.5</v>
      </c>
      <c r="AA425" s="3" t="s">
        <v>88</v>
      </c>
      <c r="AB425" s="3">
        <v>0</v>
      </c>
      <c r="AC425" s="3" t="s">
        <v>81</v>
      </c>
      <c r="AD425" s="3">
        <v>0</v>
      </c>
      <c r="AE425" s="3" t="s">
        <v>98</v>
      </c>
      <c r="AF425" s="3">
        <v>0</v>
      </c>
      <c r="AG425" s="3" t="s">
        <v>98</v>
      </c>
      <c r="AH425" s="3">
        <v>0</v>
      </c>
      <c r="AI425" s="3">
        <v>3</v>
      </c>
      <c r="AJ425" s="3">
        <v>2</v>
      </c>
      <c r="AK425" s="3">
        <v>1</v>
      </c>
      <c r="AL425" s="3">
        <v>1</v>
      </c>
      <c r="AM425" s="3">
        <v>0</v>
      </c>
      <c r="AN425" s="3">
        <v>1</v>
      </c>
      <c r="AO425" s="3">
        <v>0</v>
      </c>
      <c r="AP425" s="3">
        <v>1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1</v>
      </c>
      <c r="BG425" s="3">
        <v>1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7" t="s">
        <v>104</v>
      </c>
      <c r="BX425" s="7" t="s">
        <v>1176</v>
      </c>
    </row>
    <row r="426" spans="1:76">
      <c r="A426" s="3" t="s">
        <v>1177</v>
      </c>
      <c r="B426" s="3">
        <v>4577</v>
      </c>
      <c r="C426" s="3" t="s">
        <v>1178</v>
      </c>
      <c r="D426" s="3">
        <v>6</v>
      </c>
      <c r="E426" s="4">
        <v>48</v>
      </c>
      <c r="F426" s="3" t="s">
        <v>87</v>
      </c>
      <c r="G426" s="3">
        <v>0</v>
      </c>
      <c r="H426" s="3">
        <v>0</v>
      </c>
      <c r="I426" s="4">
        <v>1271</v>
      </c>
      <c r="J426" s="4">
        <v>19</v>
      </c>
      <c r="K426" s="4">
        <v>1290</v>
      </c>
      <c r="L426" s="5">
        <f>IF(F426="F",65.79,IF(F426="M",79.94,""))</f>
        <v>65.790000000000006</v>
      </c>
      <c r="M426" s="3">
        <f t="shared" si="42"/>
        <v>1</v>
      </c>
      <c r="N426" s="3" t="str">
        <f t="shared" si="43"/>
        <v>VSC-halitosis</v>
      </c>
      <c r="O426" s="3" t="str">
        <f t="shared" si="44"/>
        <v>Clinical- / VSC+</v>
      </c>
      <c r="P426" s="5">
        <f t="shared" si="45"/>
        <v>7.1623974973557178</v>
      </c>
      <c r="Q426" s="5">
        <f t="shared" si="46"/>
        <v>7.1483457439000677</v>
      </c>
      <c r="R426" s="5">
        <f t="shared" si="46"/>
        <v>2.9957322735539909</v>
      </c>
      <c r="S426" s="5">
        <f t="shared" si="47"/>
        <v>1.4728682170542635E-2</v>
      </c>
      <c r="T426" s="3">
        <f t="shared" si="48"/>
        <v>0</v>
      </c>
      <c r="U426" s="3" t="s">
        <v>96</v>
      </c>
      <c r="V426" s="3">
        <v>3</v>
      </c>
      <c r="W426" s="6">
        <v>6.4</v>
      </c>
      <c r="X426" s="4">
        <v>4</v>
      </c>
      <c r="Y426" s="5">
        <v>1</v>
      </c>
      <c r="Z426" s="5">
        <v>1.5</v>
      </c>
      <c r="AA426" s="3" t="s">
        <v>208</v>
      </c>
      <c r="AB426" s="3">
        <v>1</v>
      </c>
      <c r="AC426" s="3" t="s">
        <v>81</v>
      </c>
      <c r="AD426" s="3">
        <v>0</v>
      </c>
      <c r="AE426" s="3" t="s">
        <v>98</v>
      </c>
      <c r="AF426" s="3">
        <v>0</v>
      </c>
      <c r="AG426" s="3" t="s">
        <v>103</v>
      </c>
      <c r="AH426" s="3">
        <v>1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7" t="s">
        <v>119</v>
      </c>
      <c r="BX426" s="7"/>
    </row>
    <row r="427" spans="1:76">
      <c r="A427" s="3" t="s">
        <v>1179</v>
      </c>
      <c r="B427" s="3">
        <v>5617</v>
      </c>
      <c r="C427" s="3" t="s">
        <v>1178</v>
      </c>
      <c r="D427" s="3">
        <v>6</v>
      </c>
      <c r="E427" s="4">
        <v>49</v>
      </c>
      <c r="F427" s="3" t="s">
        <v>87</v>
      </c>
      <c r="G427" s="3">
        <v>0</v>
      </c>
      <c r="H427" s="3">
        <v>0</v>
      </c>
      <c r="I427" s="4">
        <v>1271</v>
      </c>
      <c r="J427" s="4">
        <v>19</v>
      </c>
      <c r="K427" s="4">
        <v>1290</v>
      </c>
      <c r="L427" s="5">
        <f>IF(F427="F",65.79,IF(F427="M",79.94,""))</f>
        <v>65.790000000000006</v>
      </c>
      <c r="M427" s="3">
        <f t="shared" si="42"/>
        <v>1</v>
      </c>
      <c r="N427" s="3" t="str">
        <f t="shared" si="43"/>
        <v>VSC-halitosis</v>
      </c>
      <c r="O427" s="3" t="str">
        <f t="shared" si="44"/>
        <v>Clinical- / VSC+</v>
      </c>
      <c r="P427" s="5">
        <f t="shared" si="45"/>
        <v>7.1623974973557178</v>
      </c>
      <c r="Q427" s="5">
        <f t="shared" si="46"/>
        <v>7.1483457439000677</v>
      </c>
      <c r="R427" s="5">
        <f t="shared" si="46"/>
        <v>2.9957322735539909</v>
      </c>
      <c r="S427" s="5">
        <f t="shared" si="47"/>
        <v>1.4728682170542635E-2</v>
      </c>
      <c r="T427" s="3">
        <f t="shared" si="48"/>
        <v>0</v>
      </c>
      <c r="U427" s="3" t="s">
        <v>96</v>
      </c>
      <c r="V427" s="3">
        <v>3</v>
      </c>
      <c r="W427" s="6">
        <v>6.4</v>
      </c>
      <c r="X427" s="4">
        <v>4</v>
      </c>
      <c r="Y427" s="5">
        <v>1</v>
      </c>
      <c r="Z427" s="5">
        <v>1.5</v>
      </c>
      <c r="AA427" s="3" t="s">
        <v>80</v>
      </c>
      <c r="AB427" s="3">
        <v>0</v>
      </c>
      <c r="AC427" s="3" t="s">
        <v>81</v>
      </c>
      <c r="AD427" s="3">
        <v>0</v>
      </c>
      <c r="AE427" s="3" t="s">
        <v>82</v>
      </c>
      <c r="AF427" s="3">
        <v>1</v>
      </c>
      <c r="AG427" s="3" t="s">
        <v>82</v>
      </c>
      <c r="AH427" s="3">
        <v>1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7" t="s">
        <v>119</v>
      </c>
      <c r="BX427" s="7" t="s">
        <v>119</v>
      </c>
    </row>
    <row r="428" spans="1:76">
      <c r="A428" s="3" t="s">
        <v>1180</v>
      </c>
      <c r="B428" s="3">
        <v>4577</v>
      </c>
      <c r="C428" s="3" t="s">
        <v>1178</v>
      </c>
      <c r="D428" s="3">
        <v>6</v>
      </c>
      <c r="E428" s="4">
        <v>48</v>
      </c>
      <c r="F428" s="3" t="s">
        <v>87</v>
      </c>
      <c r="G428" s="3">
        <v>0</v>
      </c>
      <c r="H428" s="3">
        <v>0</v>
      </c>
      <c r="I428" s="4">
        <v>379</v>
      </c>
      <c r="J428" s="4">
        <v>87</v>
      </c>
      <c r="K428" s="4">
        <v>466</v>
      </c>
      <c r="L428" s="5">
        <f>IF(F428="F",65.79,IF(F428="M",79.94,""))</f>
        <v>65.790000000000006</v>
      </c>
      <c r="M428" s="3">
        <f t="shared" si="42"/>
        <v>1</v>
      </c>
      <c r="N428" s="3" t="str">
        <f t="shared" si="43"/>
        <v>VSC-halitosis</v>
      </c>
      <c r="O428" s="3" t="str">
        <f t="shared" si="44"/>
        <v>Clinical- / VSC+</v>
      </c>
      <c r="P428" s="5">
        <f t="shared" si="45"/>
        <v>6.1441856341256456</v>
      </c>
      <c r="Q428" s="5">
        <f t="shared" si="46"/>
        <v>5.9401712527204316</v>
      </c>
      <c r="R428" s="5">
        <f t="shared" si="46"/>
        <v>4.4773368144782069</v>
      </c>
      <c r="S428" s="5">
        <f t="shared" si="47"/>
        <v>0.18669527896995708</v>
      </c>
      <c r="T428" s="3">
        <f t="shared" si="48"/>
        <v>0</v>
      </c>
      <c r="U428" s="3" t="s">
        <v>96</v>
      </c>
      <c r="V428" s="3">
        <v>3</v>
      </c>
      <c r="W428" s="6">
        <v>6.4</v>
      </c>
      <c r="X428" s="4">
        <v>4</v>
      </c>
      <c r="Y428" s="5">
        <v>1</v>
      </c>
      <c r="Z428" s="5">
        <v>1.5</v>
      </c>
      <c r="AA428" s="3" t="s">
        <v>208</v>
      </c>
      <c r="AB428" s="3">
        <v>1</v>
      </c>
      <c r="AC428" s="3" t="s">
        <v>81</v>
      </c>
      <c r="AD428" s="3">
        <v>0</v>
      </c>
      <c r="AE428" s="3" t="s">
        <v>98</v>
      </c>
      <c r="AF428" s="3">
        <v>0</v>
      </c>
      <c r="AG428" s="3" t="s">
        <v>103</v>
      </c>
      <c r="AH428" s="3">
        <v>1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7" t="s">
        <v>119</v>
      </c>
      <c r="BX428" s="7"/>
    </row>
    <row r="429" spans="1:76">
      <c r="A429" s="3" t="s">
        <v>1181</v>
      </c>
      <c r="B429" s="3">
        <v>5617</v>
      </c>
      <c r="C429" s="3" t="s">
        <v>1178</v>
      </c>
      <c r="D429" s="3">
        <v>6</v>
      </c>
      <c r="E429" s="4">
        <v>48</v>
      </c>
      <c r="F429" s="3" t="s">
        <v>87</v>
      </c>
      <c r="G429" s="3">
        <v>0</v>
      </c>
      <c r="H429" s="3">
        <v>0</v>
      </c>
      <c r="I429" s="4">
        <v>379</v>
      </c>
      <c r="J429" s="4">
        <v>87</v>
      </c>
      <c r="K429" s="4">
        <v>466</v>
      </c>
      <c r="L429" s="5">
        <f>IF(F429="F",65.79,IF(F429="M",79.94,""))</f>
        <v>65.790000000000006</v>
      </c>
      <c r="M429" s="3">
        <f t="shared" si="42"/>
        <v>1</v>
      </c>
      <c r="N429" s="3" t="str">
        <f t="shared" si="43"/>
        <v>VSC-halitosis</v>
      </c>
      <c r="O429" s="3" t="str">
        <f t="shared" si="44"/>
        <v>Clinical- / VSC+</v>
      </c>
      <c r="P429" s="5">
        <f t="shared" si="45"/>
        <v>6.1441856341256456</v>
      </c>
      <c r="Q429" s="5">
        <f t="shared" si="46"/>
        <v>5.9401712527204316</v>
      </c>
      <c r="R429" s="5">
        <f t="shared" si="46"/>
        <v>4.4773368144782069</v>
      </c>
      <c r="S429" s="5">
        <f t="shared" si="47"/>
        <v>0.18669527896995708</v>
      </c>
      <c r="T429" s="3">
        <f t="shared" si="48"/>
        <v>0</v>
      </c>
      <c r="U429" s="3" t="s">
        <v>96</v>
      </c>
      <c r="V429" s="3">
        <v>3</v>
      </c>
      <c r="W429" s="6">
        <v>6.4</v>
      </c>
      <c r="X429" s="4">
        <v>4</v>
      </c>
      <c r="Y429" s="5">
        <v>1</v>
      </c>
      <c r="Z429" s="5">
        <v>1.5</v>
      </c>
      <c r="AA429" s="3" t="s">
        <v>80</v>
      </c>
      <c r="AB429" s="3">
        <v>0</v>
      </c>
      <c r="AC429" s="3" t="s">
        <v>81</v>
      </c>
      <c r="AD429" s="3">
        <v>0</v>
      </c>
      <c r="AE429" s="3" t="s">
        <v>82</v>
      </c>
      <c r="AF429" s="3">
        <v>1</v>
      </c>
      <c r="AG429" s="3" t="s">
        <v>82</v>
      </c>
      <c r="AH429" s="3">
        <v>1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7" t="s">
        <v>119</v>
      </c>
      <c r="BX429" s="7" t="s">
        <v>119</v>
      </c>
    </row>
    <row r="430" spans="1:76">
      <c r="A430" s="3" t="s">
        <v>1182</v>
      </c>
      <c r="B430" s="3">
        <v>4577</v>
      </c>
      <c r="C430" s="3" t="s">
        <v>1178</v>
      </c>
      <c r="D430" s="3">
        <v>6</v>
      </c>
      <c r="E430" s="4">
        <v>49</v>
      </c>
      <c r="F430" s="3" t="s">
        <v>87</v>
      </c>
      <c r="G430" s="3">
        <v>0</v>
      </c>
      <c r="H430" s="3">
        <v>0</v>
      </c>
      <c r="I430" s="4">
        <v>2</v>
      </c>
      <c r="J430" s="4">
        <v>1</v>
      </c>
      <c r="K430" s="4">
        <v>3</v>
      </c>
      <c r="L430" s="5">
        <f>IF(F430="F",65.79,IF(F430="M",79.94,""))</f>
        <v>65.790000000000006</v>
      </c>
      <c r="M430" s="3">
        <f t="shared" si="42"/>
        <v>0</v>
      </c>
      <c r="N430" s="3" t="str">
        <f t="shared" si="43"/>
        <v>VSC-non-halitosis</v>
      </c>
      <c r="O430" s="3" t="str">
        <f t="shared" si="44"/>
        <v>Clinical- / VSC-</v>
      </c>
      <c r="P430" s="5">
        <f t="shared" si="45"/>
        <v>1.0986122886681098</v>
      </c>
      <c r="Q430" s="5">
        <f t="shared" si="46"/>
        <v>1.0986122886681098</v>
      </c>
      <c r="R430" s="5">
        <f t="shared" si="46"/>
        <v>0.69314718055994529</v>
      </c>
      <c r="S430" s="5">
        <f t="shared" si="47"/>
        <v>0.33333333333333331</v>
      </c>
      <c r="T430" s="3">
        <f t="shared" si="48"/>
        <v>0</v>
      </c>
      <c r="U430" s="3" t="s">
        <v>102</v>
      </c>
      <c r="V430" s="3">
        <v>1</v>
      </c>
      <c r="W430" s="6">
        <v>6.4</v>
      </c>
      <c r="X430" s="4">
        <v>4</v>
      </c>
      <c r="Y430" s="5">
        <v>1</v>
      </c>
      <c r="Z430" s="5">
        <v>1.5</v>
      </c>
      <c r="AA430" s="3" t="s">
        <v>208</v>
      </c>
      <c r="AB430" s="3">
        <v>1</v>
      </c>
      <c r="AC430" s="3" t="s">
        <v>81</v>
      </c>
      <c r="AD430" s="3">
        <v>0</v>
      </c>
      <c r="AE430" s="3" t="s">
        <v>98</v>
      </c>
      <c r="AF430" s="3">
        <v>0</v>
      </c>
      <c r="AG430" s="3" t="s">
        <v>103</v>
      </c>
      <c r="AH430" s="3">
        <v>1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7" t="s">
        <v>119</v>
      </c>
      <c r="BX430" s="7"/>
    </row>
    <row r="431" spans="1:76">
      <c r="A431" s="3" t="s">
        <v>1183</v>
      </c>
      <c r="B431" s="3">
        <v>5617</v>
      </c>
      <c r="C431" s="3" t="s">
        <v>1178</v>
      </c>
      <c r="D431" s="3">
        <v>6</v>
      </c>
      <c r="E431" s="4">
        <v>49</v>
      </c>
      <c r="F431" s="3" t="s">
        <v>87</v>
      </c>
      <c r="G431" s="3">
        <v>0</v>
      </c>
      <c r="H431" s="3">
        <v>0</v>
      </c>
      <c r="I431" s="4">
        <v>2</v>
      </c>
      <c r="J431" s="4">
        <v>1</v>
      </c>
      <c r="K431" s="4">
        <v>3</v>
      </c>
      <c r="L431" s="5">
        <f>IF(F431="F",65.79,IF(F431="M",79.94,""))</f>
        <v>65.790000000000006</v>
      </c>
      <c r="M431" s="3">
        <f t="shared" si="42"/>
        <v>0</v>
      </c>
      <c r="N431" s="3" t="str">
        <f t="shared" si="43"/>
        <v>VSC-non-halitosis</v>
      </c>
      <c r="O431" s="3" t="str">
        <f t="shared" si="44"/>
        <v>Clinical- / VSC-</v>
      </c>
      <c r="P431" s="5">
        <f t="shared" si="45"/>
        <v>1.0986122886681098</v>
      </c>
      <c r="Q431" s="5">
        <f t="shared" si="46"/>
        <v>1.0986122886681098</v>
      </c>
      <c r="R431" s="5">
        <f t="shared" si="46"/>
        <v>0.69314718055994529</v>
      </c>
      <c r="S431" s="5">
        <f t="shared" si="47"/>
        <v>0.33333333333333331</v>
      </c>
      <c r="T431" s="3">
        <f t="shared" si="48"/>
        <v>0</v>
      </c>
      <c r="U431" s="3" t="s">
        <v>102</v>
      </c>
      <c r="V431" s="3">
        <v>1</v>
      </c>
      <c r="W431" s="6">
        <v>6.4</v>
      </c>
      <c r="X431" s="4">
        <v>4</v>
      </c>
      <c r="Y431" s="5">
        <v>1</v>
      </c>
      <c r="Z431" s="5">
        <v>1.5</v>
      </c>
      <c r="AA431" s="3" t="s">
        <v>80</v>
      </c>
      <c r="AB431" s="3">
        <v>0</v>
      </c>
      <c r="AC431" s="3" t="s">
        <v>81</v>
      </c>
      <c r="AD431" s="3">
        <v>0</v>
      </c>
      <c r="AE431" s="3" t="s">
        <v>82</v>
      </c>
      <c r="AF431" s="3">
        <v>1</v>
      </c>
      <c r="AG431" s="3" t="s">
        <v>82</v>
      </c>
      <c r="AH431" s="3">
        <v>1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7" t="s">
        <v>119</v>
      </c>
      <c r="BX431" s="7" t="s">
        <v>119</v>
      </c>
    </row>
    <row r="432" spans="1:76" ht="68">
      <c r="A432" s="3" t="s">
        <v>1184</v>
      </c>
      <c r="B432" s="3">
        <v>4593</v>
      </c>
      <c r="C432" s="3" t="s">
        <v>1185</v>
      </c>
      <c r="D432" s="3">
        <v>1</v>
      </c>
      <c r="E432" s="4">
        <v>74</v>
      </c>
      <c r="F432" s="3" t="s">
        <v>87</v>
      </c>
      <c r="G432" s="3">
        <v>0</v>
      </c>
      <c r="H432" s="3">
        <v>0</v>
      </c>
      <c r="I432" s="4">
        <v>0</v>
      </c>
      <c r="J432" s="4">
        <v>2</v>
      </c>
      <c r="K432" s="4">
        <v>2</v>
      </c>
      <c r="L432" s="5">
        <f>IF(F432="F",65.79,IF(F432="M",79.94,""))</f>
        <v>65.790000000000006</v>
      </c>
      <c r="M432" s="3">
        <f t="shared" si="42"/>
        <v>0</v>
      </c>
      <c r="N432" s="3" t="str">
        <f t="shared" si="43"/>
        <v>VSC-non-halitosis</v>
      </c>
      <c r="O432" s="3" t="str">
        <f t="shared" si="44"/>
        <v>Clinical- / VSC-</v>
      </c>
      <c r="P432" s="5">
        <f t="shared" si="45"/>
        <v>0.69314718055994529</v>
      </c>
      <c r="Q432" s="5">
        <f t="shared" si="46"/>
        <v>0</v>
      </c>
      <c r="R432" s="5">
        <f t="shared" si="46"/>
        <v>1.0986122886681098</v>
      </c>
      <c r="S432" s="5">
        <f t="shared" si="47"/>
        <v>1</v>
      </c>
      <c r="T432" s="3">
        <f t="shared" si="48"/>
        <v>1</v>
      </c>
      <c r="U432" s="3" t="s">
        <v>102</v>
      </c>
      <c r="V432" s="3">
        <v>1</v>
      </c>
      <c r="W432" s="6"/>
      <c r="X432" s="4">
        <v>12</v>
      </c>
      <c r="Y432" s="5">
        <v>0.6</v>
      </c>
      <c r="Z432" s="5">
        <v>1</v>
      </c>
      <c r="AA432" s="3" t="s">
        <v>208</v>
      </c>
      <c r="AB432" s="3">
        <v>1</v>
      </c>
      <c r="AC432" s="3" t="s">
        <v>81</v>
      </c>
      <c r="AD432" s="3">
        <v>0</v>
      </c>
      <c r="AE432" s="3" t="s">
        <v>82</v>
      </c>
      <c r="AF432" s="3">
        <v>1</v>
      </c>
      <c r="AG432" s="3" t="s">
        <v>103</v>
      </c>
      <c r="AH432" s="3">
        <v>1</v>
      </c>
      <c r="AI432" s="3">
        <v>4</v>
      </c>
      <c r="AJ432" s="3">
        <v>4</v>
      </c>
      <c r="AK432" s="3">
        <v>2</v>
      </c>
      <c r="AL432" s="3">
        <v>1</v>
      </c>
      <c r="AM432" s="3">
        <v>0</v>
      </c>
      <c r="AN432" s="3">
        <v>1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1</v>
      </c>
      <c r="BB432" s="3">
        <v>0</v>
      </c>
      <c r="BC432" s="3">
        <v>0</v>
      </c>
      <c r="BD432" s="3">
        <v>0</v>
      </c>
      <c r="BE432" s="3">
        <v>1</v>
      </c>
      <c r="BF432" s="3">
        <v>1</v>
      </c>
      <c r="BG432" s="3">
        <v>1</v>
      </c>
      <c r="BH432" s="3">
        <v>0</v>
      </c>
      <c r="BI432" s="3">
        <v>1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1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7" t="s">
        <v>186</v>
      </c>
      <c r="BX432" s="7" t="s">
        <v>1186</v>
      </c>
    </row>
    <row r="433" spans="1:76">
      <c r="A433" s="3" t="s">
        <v>1187</v>
      </c>
      <c r="B433" s="3">
        <v>4609</v>
      </c>
      <c r="C433" s="3" t="s">
        <v>1188</v>
      </c>
      <c r="D433" s="3">
        <v>1</v>
      </c>
      <c r="E433" s="4">
        <v>70</v>
      </c>
      <c r="F433" s="3" t="s">
        <v>78</v>
      </c>
      <c r="G433" s="3">
        <v>0</v>
      </c>
      <c r="H433" s="3">
        <v>1</v>
      </c>
      <c r="I433" s="4">
        <v>3</v>
      </c>
      <c r="J433" s="4">
        <v>0</v>
      </c>
      <c r="K433" s="4">
        <v>3</v>
      </c>
      <c r="L433" s="5">
        <f>IF(F433="F",65.79,IF(F433="M",79.94,""))</f>
        <v>79.94</v>
      </c>
      <c r="M433" s="3">
        <f t="shared" si="42"/>
        <v>0</v>
      </c>
      <c r="N433" s="3" t="str">
        <f t="shared" si="43"/>
        <v>VSC-non-halitosis</v>
      </c>
      <c r="O433" s="3" t="str">
        <f t="shared" si="44"/>
        <v>Clinical- / VSC-</v>
      </c>
      <c r="P433" s="5">
        <f t="shared" si="45"/>
        <v>1.0986122886681098</v>
      </c>
      <c r="Q433" s="5">
        <f t="shared" si="46"/>
        <v>1.3862943611198906</v>
      </c>
      <c r="R433" s="5">
        <f t="shared" si="46"/>
        <v>0</v>
      </c>
      <c r="S433" s="5">
        <f t="shared" si="47"/>
        <v>0</v>
      </c>
      <c r="T433" s="3">
        <f t="shared" si="48"/>
        <v>0</v>
      </c>
      <c r="U433" s="3" t="s">
        <v>102</v>
      </c>
      <c r="V433" s="3">
        <v>1</v>
      </c>
      <c r="W433" s="6"/>
      <c r="X433" s="4">
        <v>10</v>
      </c>
      <c r="Y433" s="5">
        <v>0.5</v>
      </c>
      <c r="Z433" s="5">
        <v>1</v>
      </c>
      <c r="AA433" s="3" t="s">
        <v>208</v>
      </c>
      <c r="AB433" s="3">
        <v>1</v>
      </c>
      <c r="AC433" s="3" t="s">
        <v>138</v>
      </c>
      <c r="AD433" s="3">
        <v>1</v>
      </c>
      <c r="AE433" s="3" t="s">
        <v>82</v>
      </c>
      <c r="AF433" s="3">
        <v>1</v>
      </c>
      <c r="AG433" s="3" t="s">
        <v>82</v>
      </c>
      <c r="AH433" s="3">
        <v>1</v>
      </c>
      <c r="AI433" s="3">
        <v>1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1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7"/>
      <c r="BX433" s="7" t="s">
        <v>1189</v>
      </c>
    </row>
    <row r="434" spans="1:76" ht="34">
      <c r="A434" s="3" t="s">
        <v>1190</v>
      </c>
      <c r="B434" s="3">
        <v>4628</v>
      </c>
      <c r="C434" s="3" t="s">
        <v>1191</v>
      </c>
      <c r="D434" s="3">
        <v>1</v>
      </c>
      <c r="E434" s="4">
        <v>61</v>
      </c>
      <c r="F434" s="3" t="s">
        <v>78</v>
      </c>
      <c r="G434" s="3">
        <v>0</v>
      </c>
      <c r="H434" s="3">
        <v>0</v>
      </c>
      <c r="I434" s="4">
        <v>0</v>
      </c>
      <c r="J434" s="4">
        <v>2</v>
      </c>
      <c r="K434" s="4">
        <v>2</v>
      </c>
      <c r="L434" s="5">
        <f>IF(F434="F",65.79,IF(F434="M",79.94,""))</f>
        <v>79.94</v>
      </c>
      <c r="M434" s="3">
        <f t="shared" si="42"/>
        <v>0</v>
      </c>
      <c r="N434" s="3" t="str">
        <f t="shared" si="43"/>
        <v>VSC-non-halitosis</v>
      </c>
      <c r="O434" s="3" t="str">
        <f t="shared" si="44"/>
        <v>Clinical- / VSC-</v>
      </c>
      <c r="P434" s="5">
        <f t="shared" si="45"/>
        <v>0.69314718055994529</v>
      </c>
      <c r="Q434" s="5">
        <f t="shared" si="46"/>
        <v>0</v>
      </c>
      <c r="R434" s="5">
        <f t="shared" si="46"/>
        <v>1.0986122886681098</v>
      </c>
      <c r="S434" s="5">
        <f t="shared" si="47"/>
        <v>1</v>
      </c>
      <c r="T434" s="3">
        <f t="shared" si="48"/>
        <v>1</v>
      </c>
      <c r="U434" s="3" t="s">
        <v>102</v>
      </c>
      <c r="V434" s="3">
        <v>1</v>
      </c>
      <c r="W434" s="6"/>
      <c r="X434" s="4">
        <v>9</v>
      </c>
      <c r="Y434" s="5">
        <v>0.8</v>
      </c>
      <c r="Z434" s="5">
        <v>1</v>
      </c>
      <c r="AA434" s="3" t="s">
        <v>88</v>
      </c>
      <c r="AB434" s="3">
        <v>0</v>
      </c>
      <c r="AC434" s="3" t="s">
        <v>113</v>
      </c>
      <c r="AD434" s="3">
        <v>0</v>
      </c>
      <c r="AE434" s="3" t="s">
        <v>98</v>
      </c>
      <c r="AF434" s="3">
        <v>0</v>
      </c>
      <c r="AG434" s="3" t="s">
        <v>98</v>
      </c>
      <c r="AH434" s="3">
        <v>0</v>
      </c>
      <c r="AI434" s="3">
        <v>2</v>
      </c>
      <c r="AJ434" s="3">
        <v>1</v>
      </c>
      <c r="AK434" s="3">
        <v>1</v>
      </c>
      <c r="AL434" s="3">
        <v>1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1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7" t="s">
        <v>186</v>
      </c>
      <c r="BX434" s="7" t="s">
        <v>1192</v>
      </c>
    </row>
    <row r="435" spans="1:76">
      <c r="A435" s="3" t="s">
        <v>1193</v>
      </c>
      <c r="B435" s="3">
        <v>4645</v>
      </c>
      <c r="C435" s="3" t="s">
        <v>1194</v>
      </c>
      <c r="D435" s="3">
        <v>1</v>
      </c>
      <c r="E435" s="4">
        <v>45</v>
      </c>
      <c r="F435" s="3" t="s">
        <v>87</v>
      </c>
      <c r="G435" s="3">
        <v>0</v>
      </c>
      <c r="H435" s="3">
        <v>1</v>
      </c>
      <c r="I435" s="4">
        <v>0</v>
      </c>
      <c r="J435" s="4">
        <v>1</v>
      </c>
      <c r="K435" s="4">
        <v>1</v>
      </c>
      <c r="L435" s="5">
        <f>IF(F435="F",65.79,IF(F435="M",79.94,""))</f>
        <v>65.790000000000006</v>
      </c>
      <c r="M435" s="3">
        <f t="shared" si="42"/>
        <v>0</v>
      </c>
      <c r="N435" s="3" t="str">
        <f t="shared" si="43"/>
        <v>VSC-non-halitosis</v>
      </c>
      <c r="O435" s="3" t="str">
        <f t="shared" si="44"/>
        <v>Clinical- / VSC-</v>
      </c>
      <c r="P435" s="5">
        <f t="shared" si="45"/>
        <v>0</v>
      </c>
      <c r="Q435" s="5">
        <f t="shared" si="46"/>
        <v>0</v>
      </c>
      <c r="R435" s="5">
        <f t="shared" si="46"/>
        <v>0.69314718055994529</v>
      </c>
      <c r="S435" s="5">
        <f t="shared" si="47"/>
        <v>1</v>
      </c>
      <c r="T435" s="3">
        <f t="shared" si="48"/>
        <v>1</v>
      </c>
      <c r="U435" s="3" t="s">
        <v>102</v>
      </c>
      <c r="V435" s="3">
        <v>1</v>
      </c>
      <c r="W435" s="6"/>
      <c r="X435" s="4">
        <v>8</v>
      </c>
      <c r="Y435" s="5">
        <v>0.5</v>
      </c>
      <c r="Z435" s="5">
        <v>1.8</v>
      </c>
      <c r="AA435" s="3" t="s">
        <v>88</v>
      </c>
      <c r="AB435" s="3">
        <v>0</v>
      </c>
      <c r="AC435" s="3" t="s">
        <v>113</v>
      </c>
      <c r="AD435" s="3">
        <v>0</v>
      </c>
      <c r="AE435" s="3" t="s">
        <v>98</v>
      </c>
      <c r="AF435" s="3">
        <v>0</v>
      </c>
      <c r="AG435" s="3" t="s">
        <v>82</v>
      </c>
      <c r="AH435" s="3">
        <v>1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7"/>
      <c r="BX435" s="7"/>
    </row>
    <row r="436" spans="1:76" ht="34">
      <c r="A436" s="3" t="s">
        <v>1195</v>
      </c>
      <c r="B436" s="3">
        <v>4678</v>
      </c>
      <c r="C436" s="3" t="s">
        <v>1196</v>
      </c>
      <c r="D436" s="3">
        <v>1</v>
      </c>
      <c r="E436" s="4">
        <v>50</v>
      </c>
      <c r="F436" s="3" t="s">
        <v>78</v>
      </c>
      <c r="G436" s="3">
        <v>0</v>
      </c>
      <c r="H436" s="3">
        <v>1</v>
      </c>
      <c r="I436" s="4">
        <v>0</v>
      </c>
      <c r="J436" s="4">
        <v>1</v>
      </c>
      <c r="K436" s="4">
        <v>1</v>
      </c>
      <c r="L436" s="5">
        <f>IF(F436="F",65.79,IF(F436="M",79.94,""))</f>
        <v>79.94</v>
      </c>
      <c r="M436" s="3">
        <f t="shared" si="42"/>
        <v>0</v>
      </c>
      <c r="N436" s="3" t="str">
        <f t="shared" si="43"/>
        <v>VSC-non-halitosis</v>
      </c>
      <c r="O436" s="3" t="str">
        <f t="shared" si="44"/>
        <v>Clinical- / VSC-</v>
      </c>
      <c r="P436" s="5">
        <f t="shared" si="45"/>
        <v>0</v>
      </c>
      <c r="Q436" s="5">
        <f t="shared" si="46"/>
        <v>0</v>
      </c>
      <c r="R436" s="5">
        <f t="shared" si="46"/>
        <v>0.69314718055994529</v>
      </c>
      <c r="S436" s="5">
        <f t="shared" si="47"/>
        <v>1</v>
      </c>
      <c r="T436" s="3">
        <f t="shared" si="48"/>
        <v>1</v>
      </c>
      <c r="U436" s="3" t="s">
        <v>102</v>
      </c>
      <c r="V436" s="3">
        <v>1</v>
      </c>
      <c r="W436" s="6"/>
      <c r="X436" s="4">
        <v>4</v>
      </c>
      <c r="Y436" s="5">
        <v>0.5</v>
      </c>
      <c r="Z436" s="5">
        <v>1.5</v>
      </c>
      <c r="AA436" s="3" t="s">
        <v>88</v>
      </c>
      <c r="AB436" s="3">
        <v>0</v>
      </c>
      <c r="AC436" s="3" t="s">
        <v>81</v>
      </c>
      <c r="AD436" s="3">
        <v>0</v>
      </c>
      <c r="AE436" s="3" t="s">
        <v>82</v>
      </c>
      <c r="AF436" s="3">
        <v>1</v>
      </c>
      <c r="AG436" s="3" t="s">
        <v>82</v>
      </c>
      <c r="AH436" s="3">
        <v>1</v>
      </c>
      <c r="AI436" s="3">
        <v>2</v>
      </c>
      <c r="AJ436" s="3">
        <v>1</v>
      </c>
      <c r="AK436" s="3">
        <v>1</v>
      </c>
      <c r="AL436" s="3">
        <v>1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1</v>
      </c>
      <c r="BF436" s="3">
        <v>0</v>
      </c>
      <c r="BG436" s="3">
        <v>1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7" t="s">
        <v>186</v>
      </c>
      <c r="BX436" s="7" t="s">
        <v>1197</v>
      </c>
    </row>
    <row r="437" spans="1:76">
      <c r="A437" s="3" t="s">
        <v>1198</v>
      </c>
      <c r="B437" s="3">
        <v>6631</v>
      </c>
      <c r="C437" s="3" t="s">
        <v>1199</v>
      </c>
      <c r="D437" s="3">
        <v>1</v>
      </c>
      <c r="E437" s="4">
        <v>55</v>
      </c>
      <c r="F437" s="3" t="s">
        <v>87</v>
      </c>
      <c r="G437" s="3">
        <v>0</v>
      </c>
      <c r="H437" s="3">
        <v>0</v>
      </c>
      <c r="I437" s="4">
        <v>1</v>
      </c>
      <c r="J437" s="4">
        <v>1</v>
      </c>
      <c r="K437" s="4">
        <v>2</v>
      </c>
      <c r="L437" s="5">
        <f>IF(F437="F",65.79,IF(F437="M",79.94,""))</f>
        <v>65.790000000000006</v>
      </c>
      <c r="M437" s="3">
        <f t="shared" si="42"/>
        <v>0</v>
      </c>
      <c r="N437" s="3" t="str">
        <f t="shared" si="43"/>
        <v>VSC-non-halitosis</v>
      </c>
      <c r="O437" s="3" t="str">
        <f t="shared" si="44"/>
        <v>Clinical- / VSC-</v>
      </c>
      <c r="P437" s="5">
        <f t="shared" si="45"/>
        <v>0.69314718055994529</v>
      </c>
      <c r="Q437" s="5">
        <f t="shared" si="46"/>
        <v>0.69314718055994529</v>
      </c>
      <c r="R437" s="5">
        <f t="shared" si="46"/>
        <v>0.69314718055994529</v>
      </c>
      <c r="S437" s="5">
        <f t="shared" si="47"/>
        <v>0.5</v>
      </c>
      <c r="T437" s="3">
        <f t="shared" si="48"/>
        <v>0</v>
      </c>
      <c r="U437" s="3" t="s">
        <v>102</v>
      </c>
      <c r="V437" s="3">
        <v>1</v>
      </c>
      <c r="W437" s="6">
        <v>7.2</v>
      </c>
      <c r="X437" s="4">
        <v>9</v>
      </c>
      <c r="Y437" s="5">
        <v>0.5</v>
      </c>
      <c r="Z437" s="5">
        <v>1.6</v>
      </c>
      <c r="AA437" s="3" t="s">
        <v>80</v>
      </c>
      <c r="AB437" s="3">
        <v>0</v>
      </c>
      <c r="AC437" s="3" t="s">
        <v>81</v>
      </c>
      <c r="AD437" s="3">
        <v>0</v>
      </c>
      <c r="AE437" s="3" t="s">
        <v>82</v>
      </c>
      <c r="AF437" s="3">
        <v>1</v>
      </c>
      <c r="AG437" s="3" t="s">
        <v>82</v>
      </c>
      <c r="AH437" s="3">
        <v>1</v>
      </c>
      <c r="AI437" s="3">
        <v>1</v>
      </c>
      <c r="AJ437" s="3">
        <v>1</v>
      </c>
      <c r="AK437" s="3">
        <v>0</v>
      </c>
      <c r="AL437" s="3">
        <v>0</v>
      </c>
      <c r="AM437" s="3">
        <v>0</v>
      </c>
      <c r="AN437" s="3">
        <v>0</v>
      </c>
      <c r="AO437" s="3">
        <v>1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1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7" t="s">
        <v>1200</v>
      </c>
      <c r="BX437" s="7" t="s">
        <v>80</v>
      </c>
    </row>
    <row r="438" spans="1:76">
      <c r="A438" s="3" t="s">
        <v>1201</v>
      </c>
      <c r="B438" s="3">
        <v>4710</v>
      </c>
      <c r="C438" s="3" t="s">
        <v>1202</v>
      </c>
      <c r="D438" s="3">
        <v>1</v>
      </c>
      <c r="E438" s="4">
        <v>49</v>
      </c>
      <c r="F438" s="3" t="s">
        <v>87</v>
      </c>
      <c r="G438" s="3">
        <v>1</v>
      </c>
      <c r="H438" s="3">
        <v>0</v>
      </c>
      <c r="I438" s="4">
        <v>0</v>
      </c>
      <c r="J438" s="4">
        <v>7</v>
      </c>
      <c r="K438" s="4">
        <v>7</v>
      </c>
      <c r="L438" s="5">
        <f>IF(F438="F",65.79,IF(F438="M",79.94,""))</f>
        <v>65.790000000000006</v>
      </c>
      <c r="M438" s="3">
        <f t="shared" si="42"/>
        <v>0</v>
      </c>
      <c r="N438" s="3" t="str">
        <f t="shared" si="43"/>
        <v>VSC-non-halitosis</v>
      </c>
      <c r="O438" s="3" t="str">
        <f t="shared" si="44"/>
        <v>Clinical+ / VSC-</v>
      </c>
      <c r="P438" s="5">
        <f t="shared" si="45"/>
        <v>1.9459101490553132</v>
      </c>
      <c r="Q438" s="5">
        <f t="shared" si="46"/>
        <v>0</v>
      </c>
      <c r="R438" s="5">
        <f t="shared" si="46"/>
        <v>2.0794415416798357</v>
      </c>
      <c r="S438" s="5">
        <f t="shared" si="47"/>
        <v>1</v>
      </c>
      <c r="T438" s="3">
        <f t="shared" si="48"/>
        <v>1</v>
      </c>
      <c r="U438" s="3" t="s">
        <v>79</v>
      </c>
      <c r="V438" s="3">
        <v>2</v>
      </c>
      <c r="W438" s="6"/>
      <c r="X438" s="4">
        <v>7</v>
      </c>
      <c r="Y438" s="5">
        <v>0.2</v>
      </c>
      <c r="Z438" s="5">
        <v>1</v>
      </c>
      <c r="AA438" s="3" t="s">
        <v>80</v>
      </c>
      <c r="AB438" s="3">
        <v>0</v>
      </c>
      <c r="AC438" s="3" t="s">
        <v>113</v>
      </c>
      <c r="AD438" s="3">
        <v>0</v>
      </c>
      <c r="AE438" s="3" t="s">
        <v>98</v>
      </c>
      <c r="AF438" s="3">
        <v>0</v>
      </c>
      <c r="AG438" s="3" t="s">
        <v>98</v>
      </c>
      <c r="AH438" s="3">
        <v>0</v>
      </c>
      <c r="AI438" s="3">
        <v>1</v>
      </c>
      <c r="AJ438" s="3">
        <v>1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1</v>
      </c>
      <c r="BF438" s="3">
        <v>0</v>
      </c>
      <c r="BG438" s="3">
        <v>0</v>
      </c>
      <c r="BH438" s="3">
        <v>0</v>
      </c>
      <c r="BI438" s="3">
        <v>1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7" t="s">
        <v>1203</v>
      </c>
      <c r="BX438" s="7" t="s">
        <v>1204</v>
      </c>
    </row>
    <row r="439" spans="1:76">
      <c r="A439" s="3" t="s">
        <v>1205</v>
      </c>
      <c r="B439" s="3">
        <v>4732</v>
      </c>
      <c r="C439" s="3" t="s">
        <v>1206</v>
      </c>
      <c r="D439" s="3">
        <v>1</v>
      </c>
      <c r="E439" s="4">
        <v>53</v>
      </c>
      <c r="F439" s="3" t="s">
        <v>87</v>
      </c>
      <c r="G439" s="3">
        <v>0</v>
      </c>
      <c r="H439" s="3">
        <v>0</v>
      </c>
      <c r="I439" s="4">
        <v>392</v>
      </c>
      <c r="J439" s="4">
        <v>9</v>
      </c>
      <c r="K439" s="4">
        <v>401</v>
      </c>
      <c r="L439" s="5">
        <f>IF(F439="F",65.79,IF(F439="M",79.94,""))</f>
        <v>65.790000000000006</v>
      </c>
      <c r="M439" s="3">
        <f t="shared" si="42"/>
        <v>1</v>
      </c>
      <c r="N439" s="3" t="str">
        <f t="shared" si="43"/>
        <v>VSC-halitosis</v>
      </c>
      <c r="O439" s="3" t="str">
        <f t="shared" si="44"/>
        <v>Clinical- / VSC+</v>
      </c>
      <c r="P439" s="5">
        <f t="shared" si="45"/>
        <v>5.9939614273065693</v>
      </c>
      <c r="Q439" s="5">
        <f t="shared" si="46"/>
        <v>5.9738096118692612</v>
      </c>
      <c r="R439" s="5">
        <f t="shared" si="46"/>
        <v>2.3025850929940459</v>
      </c>
      <c r="S439" s="5">
        <f t="shared" si="47"/>
        <v>2.2443890274314215E-2</v>
      </c>
      <c r="T439" s="3">
        <f t="shared" si="48"/>
        <v>0</v>
      </c>
      <c r="U439" s="3" t="s">
        <v>96</v>
      </c>
      <c r="V439" s="3">
        <v>3</v>
      </c>
      <c r="W439" s="6"/>
      <c r="X439" s="4">
        <v>6</v>
      </c>
      <c r="Y439" s="5">
        <v>0.5</v>
      </c>
      <c r="Z439" s="5">
        <v>1.5</v>
      </c>
      <c r="AA439" s="3" t="s">
        <v>108</v>
      </c>
      <c r="AB439" s="3">
        <v>1</v>
      </c>
      <c r="AC439" s="3" t="s">
        <v>81</v>
      </c>
      <c r="AD439" s="3">
        <v>0</v>
      </c>
      <c r="AE439" s="3" t="s">
        <v>82</v>
      </c>
      <c r="AF439" s="3">
        <v>1</v>
      </c>
      <c r="AG439" s="3" t="s">
        <v>82</v>
      </c>
      <c r="AH439" s="3">
        <v>1</v>
      </c>
      <c r="AI439" s="3">
        <v>1</v>
      </c>
      <c r="AJ439" s="3">
        <v>1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1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1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7" t="s">
        <v>1207</v>
      </c>
      <c r="BX439" s="7"/>
    </row>
    <row r="440" spans="1:76">
      <c r="A440" s="3" t="s">
        <v>1208</v>
      </c>
      <c r="B440" s="3">
        <v>4758</v>
      </c>
      <c r="C440" s="3" t="s">
        <v>1209</v>
      </c>
      <c r="D440" s="3">
        <v>1</v>
      </c>
      <c r="E440" s="4">
        <v>71</v>
      </c>
      <c r="F440" s="3" t="s">
        <v>87</v>
      </c>
      <c r="G440" s="3">
        <v>0</v>
      </c>
      <c r="H440" s="3">
        <v>0</v>
      </c>
      <c r="I440" s="4">
        <v>5</v>
      </c>
      <c r="J440" s="4">
        <v>8</v>
      </c>
      <c r="K440" s="4">
        <v>13</v>
      </c>
      <c r="L440" s="5">
        <f>IF(F440="F",65.79,IF(F440="M",79.94,""))</f>
        <v>65.790000000000006</v>
      </c>
      <c r="M440" s="3">
        <f t="shared" si="42"/>
        <v>0</v>
      </c>
      <c r="N440" s="3" t="str">
        <f t="shared" si="43"/>
        <v>VSC-non-halitosis</v>
      </c>
      <c r="O440" s="3" t="str">
        <f t="shared" si="44"/>
        <v>Clinical- / VSC-</v>
      </c>
      <c r="P440" s="5">
        <f t="shared" si="45"/>
        <v>2.5649493574615367</v>
      </c>
      <c r="Q440" s="5">
        <f t="shared" si="46"/>
        <v>1.791759469228055</v>
      </c>
      <c r="R440" s="5">
        <f t="shared" si="46"/>
        <v>2.1972245773362196</v>
      </c>
      <c r="S440" s="5">
        <f t="shared" si="47"/>
        <v>0.61538461538461542</v>
      </c>
      <c r="T440" s="3">
        <f t="shared" si="48"/>
        <v>1</v>
      </c>
      <c r="U440" s="3" t="s">
        <v>79</v>
      </c>
      <c r="V440" s="3">
        <v>2</v>
      </c>
      <c r="W440" s="6"/>
      <c r="X440" s="4">
        <v>6</v>
      </c>
      <c r="Y440" s="5">
        <v>0.3</v>
      </c>
      <c r="Z440" s="5">
        <v>1.2</v>
      </c>
      <c r="AA440" s="3" t="s">
        <v>80</v>
      </c>
      <c r="AB440" s="3">
        <v>0</v>
      </c>
      <c r="AC440" s="3" t="s">
        <v>81</v>
      </c>
      <c r="AD440" s="3">
        <v>0</v>
      </c>
      <c r="AE440" s="3" t="s">
        <v>82</v>
      </c>
      <c r="AF440" s="3">
        <v>1</v>
      </c>
      <c r="AG440" s="3" t="s">
        <v>98</v>
      </c>
      <c r="AH440" s="3">
        <v>0</v>
      </c>
      <c r="AI440" s="3">
        <v>1</v>
      </c>
      <c r="AJ440" s="3">
        <v>1</v>
      </c>
      <c r="AK440" s="3">
        <v>0</v>
      </c>
      <c r="AL440" s="3">
        <v>1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1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7" t="s">
        <v>465</v>
      </c>
      <c r="BX440" s="7"/>
    </row>
    <row r="441" spans="1:76">
      <c r="A441" s="3" t="s">
        <v>1210</v>
      </c>
      <c r="B441" s="3">
        <v>4760</v>
      </c>
      <c r="C441" s="3" t="s">
        <v>1211</v>
      </c>
      <c r="D441" s="3">
        <v>1</v>
      </c>
      <c r="E441" s="4">
        <v>42</v>
      </c>
      <c r="F441" s="3" t="s">
        <v>78</v>
      </c>
      <c r="G441" s="3">
        <v>0</v>
      </c>
      <c r="H441" s="3">
        <v>0</v>
      </c>
      <c r="I441" s="4">
        <v>328</v>
      </c>
      <c r="J441" s="4">
        <v>10</v>
      </c>
      <c r="K441" s="4">
        <v>338</v>
      </c>
      <c r="L441" s="5">
        <f>IF(F441="F",65.79,IF(F441="M",79.94,""))</f>
        <v>79.94</v>
      </c>
      <c r="M441" s="3">
        <f t="shared" si="42"/>
        <v>1</v>
      </c>
      <c r="N441" s="3" t="str">
        <f t="shared" si="43"/>
        <v>VSC-halitosis</v>
      </c>
      <c r="O441" s="3" t="str">
        <f t="shared" si="44"/>
        <v>Clinical- / VSC+</v>
      </c>
      <c r="P441" s="5">
        <f t="shared" si="45"/>
        <v>5.8230458954830189</v>
      </c>
      <c r="Q441" s="5">
        <f t="shared" si="46"/>
        <v>5.7960577507653719</v>
      </c>
      <c r="R441" s="5">
        <f t="shared" si="46"/>
        <v>2.3978952727983707</v>
      </c>
      <c r="S441" s="5">
        <f t="shared" si="47"/>
        <v>2.9585798816568046E-2</v>
      </c>
      <c r="T441" s="3">
        <f t="shared" si="48"/>
        <v>0</v>
      </c>
      <c r="U441" s="3" t="s">
        <v>96</v>
      </c>
      <c r="V441" s="3">
        <v>3</v>
      </c>
      <c r="W441" s="6"/>
      <c r="X441" s="4">
        <v>6</v>
      </c>
      <c r="Y441" s="5">
        <v>0.4</v>
      </c>
      <c r="Z441" s="5">
        <v>2.6</v>
      </c>
      <c r="AA441" s="3" t="s">
        <v>80</v>
      </c>
      <c r="AB441" s="3">
        <v>0</v>
      </c>
      <c r="AC441" s="3" t="s">
        <v>81</v>
      </c>
      <c r="AD441" s="3">
        <v>0</v>
      </c>
      <c r="AE441" s="3" t="s">
        <v>98</v>
      </c>
      <c r="AF441" s="3">
        <v>0</v>
      </c>
      <c r="AG441" s="3" t="s">
        <v>98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7" t="s">
        <v>80</v>
      </c>
      <c r="BX441" s="7"/>
    </row>
    <row r="442" spans="1:76">
      <c r="A442" s="3" t="s">
        <v>1212</v>
      </c>
      <c r="B442" s="3">
        <v>4761</v>
      </c>
      <c r="C442" s="3" t="s">
        <v>1213</v>
      </c>
      <c r="D442" s="3">
        <v>8</v>
      </c>
      <c r="E442" s="4">
        <v>67</v>
      </c>
      <c r="F442" s="3" t="s">
        <v>87</v>
      </c>
      <c r="G442" s="3">
        <v>0</v>
      </c>
      <c r="H442" s="3">
        <v>0</v>
      </c>
      <c r="I442" s="4">
        <v>143</v>
      </c>
      <c r="J442" s="4">
        <v>1</v>
      </c>
      <c r="K442" s="4">
        <v>144</v>
      </c>
      <c r="L442" s="5">
        <f>IF(F442="F",65.79,IF(F442="M",79.94,""))</f>
        <v>65.790000000000006</v>
      </c>
      <c r="M442" s="3">
        <f t="shared" si="42"/>
        <v>1</v>
      </c>
      <c r="N442" s="3" t="str">
        <f t="shared" si="43"/>
        <v>VSC-halitosis</v>
      </c>
      <c r="O442" s="3" t="str">
        <f t="shared" si="44"/>
        <v>Clinical- / VSC+</v>
      </c>
      <c r="P442" s="5">
        <f t="shared" si="45"/>
        <v>4.9698132995760007</v>
      </c>
      <c r="Q442" s="5">
        <f t="shared" si="46"/>
        <v>4.9698132995760007</v>
      </c>
      <c r="R442" s="5">
        <f t="shared" si="46"/>
        <v>0.69314718055994529</v>
      </c>
      <c r="S442" s="5">
        <f t="shared" si="47"/>
        <v>6.9444444444444441E-3</v>
      </c>
      <c r="T442" s="3">
        <f t="shared" si="48"/>
        <v>0</v>
      </c>
      <c r="U442" s="3" t="s">
        <v>96</v>
      </c>
      <c r="V442" s="3">
        <v>3</v>
      </c>
      <c r="W442" s="6"/>
      <c r="X442" s="4">
        <v>5</v>
      </c>
      <c r="Y442" s="5">
        <v>0.5</v>
      </c>
      <c r="Z442" s="5">
        <v>1.2</v>
      </c>
      <c r="AA442" s="3" t="s">
        <v>80</v>
      </c>
      <c r="AB442" s="3">
        <v>0</v>
      </c>
      <c r="AC442" s="3" t="s">
        <v>81</v>
      </c>
      <c r="AD442" s="3">
        <v>0</v>
      </c>
      <c r="AE442" s="3" t="s">
        <v>98</v>
      </c>
      <c r="AF442" s="3">
        <v>0</v>
      </c>
      <c r="AG442" s="3" t="s">
        <v>98</v>
      </c>
      <c r="AH442" s="3">
        <v>0</v>
      </c>
      <c r="AI442" s="3">
        <v>1</v>
      </c>
      <c r="AJ442" s="3">
        <v>0</v>
      </c>
      <c r="AK442" s="3">
        <v>0</v>
      </c>
      <c r="AL442" s="3">
        <v>1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7" t="s">
        <v>186</v>
      </c>
      <c r="BX442" s="7"/>
    </row>
    <row r="443" spans="1:76" ht="34">
      <c r="A443" s="3" t="s">
        <v>1214</v>
      </c>
      <c r="B443" s="3">
        <v>6233</v>
      </c>
      <c r="C443" s="3" t="s">
        <v>1213</v>
      </c>
      <c r="D443" s="3">
        <v>8</v>
      </c>
      <c r="E443" s="4">
        <v>67</v>
      </c>
      <c r="F443" s="3" t="s">
        <v>87</v>
      </c>
      <c r="G443" s="3">
        <v>0</v>
      </c>
      <c r="H443" s="3">
        <v>0</v>
      </c>
      <c r="I443" s="4">
        <v>143</v>
      </c>
      <c r="J443" s="4">
        <v>1</v>
      </c>
      <c r="K443" s="4">
        <v>144</v>
      </c>
      <c r="L443" s="5">
        <f>IF(F443="F",65.79,IF(F443="M",79.94,""))</f>
        <v>65.790000000000006</v>
      </c>
      <c r="M443" s="3">
        <f t="shared" si="42"/>
        <v>1</v>
      </c>
      <c r="N443" s="3" t="str">
        <f t="shared" si="43"/>
        <v>VSC-halitosis</v>
      </c>
      <c r="O443" s="3" t="str">
        <f t="shared" si="44"/>
        <v>Clinical- / VSC+</v>
      </c>
      <c r="P443" s="5">
        <f t="shared" si="45"/>
        <v>4.9698132995760007</v>
      </c>
      <c r="Q443" s="5">
        <f t="shared" si="46"/>
        <v>4.9698132995760007</v>
      </c>
      <c r="R443" s="5">
        <f t="shared" si="46"/>
        <v>0.69314718055994529</v>
      </c>
      <c r="S443" s="5">
        <f t="shared" si="47"/>
        <v>6.9444444444444441E-3</v>
      </c>
      <c r="T443" s="3">
        <f t="shared" si="48"/>
        <v>0</v>
      </c>
      <c r="U443" s="3" t="s">
        <v>96</v>
      </c>
      <c r="V443" s="3">
        <v>3</v>
      </c>
      <c r="W443" s="6"/>
      <c r="X443" s="4">
        <v>5</v>
      </c>
      <c r="Y443" s="5">
        <v>0.5</v>
      </c>
      <c r="Z443" s="5">
        <v>1.2</v>
      </c>
      <c r="AA443" s="3" t="s">
        <v>80</v>
      </c>
      <c r="AB443" s="3">
        <v>0</v>
      </c>
      <c r="AC443" s="3" t="s">
        <v>81</v>
      </c>
      <c r="AD443" s="3">
        <v>0</v>
      </c>
      <c r="AE443" s="3" t="s">
        <v>98</v>
      </c>
      <c r="AF443" s="3">
        <v>0</v>
      </c>
      <c r="AG443" s="3" t="s">
        <v>98</v>
      </c>
      <c r="AH443" s="3">
        <v>0</v>
      </c>
      <c r="AI443" s="3">
        <v>4</v>
      </c>
      <c r="AJ443" s="3">
        <v>4</v>
      </c>
      <c r="AK443" s="3">
        <v>1</v>
      </c>
      <c r="AL443" s="3">
        <v>1</v>
      </c>
      <c r="AM443" s="3">
        <v>1</v>
      </c>
      <c r="AN443" s="3">
        <v>1</v>
      </c>
      <c r="AO443" s="3">
        <v>0</v>
      </c>
      <c r="AP443" s="3">
        <v>0</v>
      </c>
      <c r="AQ443" s="3">
        <v>1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1</v>
      </c>
      <c r="BG443" s="3">
        <v>1</v>
      </c>
      <c r="BH443" s="3">
        <v>1</v>
      </c>
      <c r="BI443" s="3">
        <v>0</v>
      </c>
      <c r="BJ443" s="3">
        <v>0</v>
      </c>
      <c r="BK443" s="3">
        <v>1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7" t="s">
        <v>134</v>
      </c>
      <c r="BX443" s="7" t="s">
        <v>1215</v>
      </c>
    </row>
    <row r="444" spans="1:76">
      <c r="A444" s="3" t="s">
        <v>1216</v>
      </c>
      <c r="B444" s="3">
        <v>4761</v>
      </c>
      <c r="C444" s="3" t="s">
        <v>1213</v>
      </c>
      <c r="D444" s="3">
        <v>8</v>
      </c>
      <c r="E444" s="4">
        <v>67</v>
      </c>
      <c r="F444" s="3" t="s">
        <v>87</v>
      </c>
      <c r="G444" s="3">
        <v>0</v>
      </c>
      <c r="H444" s="3">
        <v>0</v>
      </c>
      <c r="I444" s="4">
        <v>143</v>
      </c>
      <c r="J444" s="4">
        <v>1</v>
      </c>
      <c r="K444" s="4">
        <v>144</v>
      </c>
      <c r="L444" s="5">
        <f>IF(F444="F",65.79,IF(F444="M",79.94,""))</f>
        <v>65.790000000000006</v>
      </c>
      <c r="M444" s="3">
        <f t="shared" si="42"/>
        <v>1</v>
      </c>
      <c r="N444" s="3" t="str">
        <f t="shared" si="43"/>
        <v>VSC-halitosis</v>
      </c>
      <c r="O444" s="3" t="str">
        <f t="shared" si="44"/>
        <v>Clinical- / VSC+</v>
      </c>
      <c r="P444" s="5">
        <f t="shared" si="45"/>
        <v>4.9698132995760007</v>
      </c>
      <c r="Q444" s="5">
        <f t="shared" si="46"/>
        <v>4.9698132995760007</v>
      </c>
      <c r="R444" s="5">
        <f t="shared" si="46"/>
        <v>0.69314718055994529</v>
      </c>
      <c r="S444" s="5">
        <f t="shared" si="47"/>
        <v>6.9444444444444441E-3</v>
      </c>
      <c r="T444" s="3">
        <f t="shared" si="48"/>
        <v>0</v>
      </c>
      <c r="U444" s="3" t="s">
        <v>96</v>
      </c>
      <c r="V444" s="3">
        <v>3</v>
      </c>
      <c r="W444" s="6">
        <v>7.6</v>
      </c>
      <c r="X444" s="4">
        <v>12</v>
      </c>
      <c r="Y444" s="5">
        <v>1</v>
      </c>
      <c r="Z444" s="5">
        <v>2.5</v>
      </c>
      <c r="AA444" s="3" t="s">
        <v>80</v>
      </c>
      <c r="AB444" s="3">
        <v>0</v>
      </c>
      <c r="AC444" s="3" t="s">
        <v>81</v>
      </c>
      <c r="AD444" s="3">
        <v>0</v>
      </c>
      <c r="AE444" s="3" t="s">
        <v>98</v>
      </c>
      <c r="AF444" s="3">
        <v>0</v>
      </c>
      <c r="AG444" s="3" t="s">
        <v>98</v>
      </c>
      <c r="AH444" s="3">
        <v>0</v>
      </c>
      <c r="AI444" s="3">
        <v>1</v>
      </c>
      <c r="AJ444" s="3">
        <v>0</v>
      </c>
      <c r="AK444" s="3">
        <v>0</v>
      </c>
      <c r="AL444" s="3">
        <v>1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7" t="s">
        <v>186</v>
      </c>
      <c r="BX444" s="7"/>
    </row>
    <row r="445" spans="1:76" ht="34">
      <c r="A445" s="3" t="s">
        <v>1217</v>
      </c>
      <c r="B445" s="3">
        <v>6233</v>
      </c>
      <c r="C445" s="3" t="s">
        <v>1213</v>
      </c>
      <c r="D445" s="3">
        <v>8</v>
      </c>
      <c r="E445" s="4">
        <v>67</v>
      </c>
      <c r="F445" s="3" t="s">
        <v>87</v>
      </c>
      <c r="G445" s="3">
        <v>0</v>
      </c>
      <c r="H445" s="3">
        <v>0</v>
      </c>
      <c r="I445" s="4">
        <v>143</v>
      </c>
      <c r="J445" s="4">
        <v>1</v>
      </c>
      <c r="K445" s="4">
        <v>144</v>
      </c>
      <c r="L445" s="5">
        <f>IF(F445="F",65.79,IF(F445="M",79.94,""))</f>
        <v>65.790000000000006</v>
      </c>
      <c r="M445" s="3">
        <f t="shared" si="42"/>
        <v>1</v>
      </c>
      <c r="N445" s="3" t="str">
        <f t="shared" si="43"/>
        <v>VSC-halitosis</v>
      </c>
      <c r="O445" s="3" t="str">
        <f t="shared" si="44"/>
        <v>Clinical- / VSC+</v>
      </c>
      <c r="P445" s="5">
        <f t="shared" si="45"/>
        <v>4.9698132995760007</v>
      </c>
      <c r="Q445" s="5">
        <f t="shared" si="46"/>
        <v>4.9698132995760007</v>
      </c>
      <c r="R445" s="5">
        <f t="shared" si="46"/>
        <v>0.69314718055994529</v>
      </c>
      <c r="S445" s="5">
        <f t="shared" si="47"/>
        <v>6.9444444444444441E-3</v>
      </c>
      <c r="T445" s="3">
        <f t="shared" si="48"/>
        <v>0</v>
      </c>
      <c r="U445" s="3" t="s">
        <v>96</v>
      </c>
      <c r="V445" s="3">
        <v>3</v>
      </c>
      <c r="W445" s="6">
        <v>7.6</v>
      </c>
      <c r="X445" s="4">
        <v>12</v>
      </c>
      <c r="Y445" s="5">
        <v>1</v>
      </c>
      <c r="Z445" s="5">
        <v>2.5</v>
      </c>
      <c r="AA445" s="3" t="s">
        <v>80</v>
      </c>
      <c r="AB445" s="3">
        <v>0</v>
      </c>
      <c r="AC445" s="3" t="s">
        <v>81</v>
      </c>
      <c r="AD445" s="3">
        <v>0</v>
      </c>
      <c r="AE445" s="3" t="s">
        <v>98</v>
      </c>
      <c r="AF445" s="3">
        <v>0</v>
      </c>
      <c r="AG445" s="3" t="s">
        <v>98</v>
      </c>
      <c r="AH445" s="3">
        <v>0</v>
      </c>
      <c r="AI445" s="3">
        <v>4</v>
      </c>
      <c r="AJ445" s="3">
        <v>4</v>
      </c>
      <c r="AK445" s="3">
        <v>1</v>
      </c>
      <c r="AL445" s="3">
        <v>1</v>
      </c>
      <c r="AM445" s="3">
        <v>1</v>
      </c>
      <c r="AN445" s="3">
        <v>1</v>
      </c>
      <c r="AO445" s="3">
        <v>0</v>
      </c>
      <c r="AP445" s="3">
        <v>0</v>
      </c>
      <c r="AQ445" s="3">
        <v>1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1</v>
      </c>
      <c r="BG445" s="3">
        <v>1</v>
      </c>
      <c r="BH445" s="3">
        <v>1</v>
      </c>
      <c r="BI445" s="3">
        <v>0</v>
      </c>
      <c r="BJ445" s="3">
        <v>0</v>
      </c>
      <c r="BK445" s="3">
        <v>1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7" t="s">
        <v>134</v>
      </c>
      <c r="BX445" s="7" t="s">
        <v>1215</v>
      </c>
    </row>
    <row r="446" spans="1:76">
      <c r="A446" s="3" t="s">
        <v>1218</v>
      </c>
      <c r="B446" s="3">
        <v>4761</v>
      </c>
      <c r="C446" s="3" t="s">
        <v>1213</v>
      </c>
      <c r="D446" s="3">
        <v>8</v>
      </c>
      <c r="E446" s="4">
        <v>69</v>
      </c>
      <c r="F446" s="3" t="s">
        <v>87</v>
      </c>
      <c r="G446" s="3">
        <v>0</v>
      </c>
      <c r="H446" s="3">
        <v>0</v>
      </c>
      <c r="I446" s="4">
        <v>3</v>
      </c>
      <c r="J446" s="4">
        <v>0</v>
      </c>
      <c r="K446" s="4">
        <v>3</v>
      </c>
      <c r="L446" s="5">
        <f>IF(F446="F",65.79,IF(F446="M",79.94,""))</f>
        <v>65.790000000000006</v>
      </c>
      <c r="M446" s="3">
        <f t="shared" si="42"/>
        <v>0</v>
      </c>
      <c r="N446" s="3" t="str">
        <f t="shared" si="43"/>
        <v>VSC-non-halitosis</v>
      </c>
      <c r="O446" s="3" t="str">
        <f t="shared" si="44"/>
        <v>Clinical- / VSC-</v>
      </c>
      <c r="P446" s="5">
        <f t="shared" si="45"/>
        <v>1.0986122886681098</v>
      </c>
      <c r="Q446" s="5">
        <f t="shared" si="46"/>
        <v>1.3862943611198906</v>
      </c>
      <c r="R446" s="5">
        <f t="shared" si="46"/>
        <v>0</v>
      </c>
      <c r="S446" s="5">
        <f t="shared" si="47"/>
        <v>0</v>
      </c>
      <c r="T446" s="3">
        <f t="shared" si="48"/>
        <v>0</v>
      </c>
      <c r="U446" s="3" t="s">
        <v>102</v>
      </c>
      <c r="V446" s="3">
        <v>1</v>
      </c>
      <c r="W446" s="6"/>
      <c r="X446" s="4">
        <v>5</v>
      </c>
      <c r="Y446" s="5">
        <v>0.5</v>
      </c>
      <c r="Z446" s="5">
        <v>1.2</v>
      </c>
      <c r="AA446" s="3" t="s">
        <v>80</v>
      </c>
      <c r="AB446" s="3">
        <v>0</v>
      </c>
      <c r="AC446" s="3" t="s">
        <v>81</v>
      </c>
      <c r="AD446" s="3">
        <v>0</v>
      </c>
      <c r="AE446" s="3" t="s">
        <v>98</v>
      </c>
      <c r="AF446" s="3">
        <v>0</v>
      </c>
      <c r="AG446" s="3" t="s">
        <v>98</v>
      </c>
      <c r="AH446" s="3">
        <v>0</v>
      </c>
      <c r="AI446" s="3">
        <v>1</v>
      </c>
      <c r="AJ446" s="3">
        <v>0</v>
      </c>
      <c r="AK446" s="3">
        <v>0</v>
      </c>
      <c r="AL446" s="3">
        <v>1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7" t="s">
        <v>186</v>
      </c>
      <c r="BX446" s="7"/>
    </row>
    <row r="447" spans="1:76" ht="34">
      <c r="A447" s="3" t="s">
        <v>1219</v>
      </c>
      <c r="B447" s="3">
        <v>6233</v>
      </c>
      <c r="C447" s="3" t="s">
        <v>1213</v>
      </c>
      <c r="D447" s="3">
        <v>8</v>
      </c>
      <c r="E447" s="4">
        <v>69</v>
      </c>
      <c r="F447" s="3" t="s">
        <v>87</v>
      </c>
      <c r="G447" s="3">
        <v>0</v>
      </c>
      <c r="H447" s="3">
        <v>0</v>
      </c>
      <c r="I447" s="4">
        <v>3</v>
      </c>
      <c r="J447" s="4">
        <v>0</v>
      </c>
      <c r="K447" s="4">
        <v>3</v>
      </c>
      <c r="L447" s="5">
        <f>IF(F447="F",65.79,IF(F447="M",79.94,""))</f>
        <v>65.790000000000006</v>
      </c>
      <c r="M447" s="3">
        <f t="shared" si="42"/>
        <v>0</v>
      </c>
      <c r="N447" s="3" t="str">
        <f t="shared" si="43"/>
        <v>VSC-non-halitosis</v>
      </c>
      <c r="O447" s="3" t="str">
        <f t="shared" si="44"/>
        <v>Clinical- / VSC-</v>
      </c>
      <c r="P447" s="5">
        <f t="shared" si="45"/>
        <v>1.0986122886681098</v>
      </c>
      <c r="Q447" s="5">
        <f t="shared" si="46"/>
        <v>1.3862943611198906</v>
      </c>
      <c r="R447" s="5">
        <f t="shared" si="46"/>
        <v>0</v>
      </c>
      <c r="S447" s="5">
        <f t="shared" si="47"/>
        <v>0</v>
      </c>
      <c r="T447" s="3">
        <f t="shared" si="48"/>
        <v>0</v>
      </c>
      <c r="U447" s="3" t="s">
        <v>102</v>
      </c>
      <c r="V447" s="3">
        <v>1</v>
      </c>
      <c r="W447" s="6"/>
      <c r="X447" s="4">
        <v>5</v>
      </c>
      <c r="Y447" s="5">
        <v>0.5</v>
      </c>
      <c r="Z447" s="5">
        <v>1.2</v>
      </c>
      <c r="AA447" s="3" t="s">
        <v>80</v>
      </c>
      <c r="AB447" s="3">
        <v>0</v>
      </c>
      <c r="AC447" s="3" t="s">
        <v>81</v>
      </c>
      <c r="AD447" s="3">
        <v>0</v>
      </c>
      <c r="AE447" s="3" t="s">
        <v>98</v>
      </c>
      <c r="AF447" s="3">
        <v>0</v>
      </c>
      <c r="AG447" s="3" t="s">
        <v>98</v>
      </c>
      <c r="AH447" s="3">
        <v>0</v>
      </c>
      <c r="AI447" s="3">
        <v>4</v>
      </c>
      <c r="AJ447" s="3">
        <v>4</v>
      </c>
      <c r="AK447" s="3">
        <v>1</v>
      </c>
      <c r="AL447" s="3">
        <v>1</v>
      </c>
      <c r="AM447" s="3">
        <v>1</v>
      </c>
      <c r="AN447" s="3">
        <v>1</v>
      </c>
      <c r="AO447" s="3">
        <v>0</v>
      </c>
      <c r="AP447" s="3">
        <v>0</v>
      </c>
      <c r="AQ447" s="3">
        <v>1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1</v>
      </c>
      <c r="BG447" s="3">
        <v>1</v>
      </c>
      <c r="BH447" s="3">
        <v>1</v>
      </c>
      <c r="BI447" s="3">
        <v>0</v>
      </c>
      <c r="BJ447" s="3">
        <v>0</v>
      </c>
      <c r="BK447" s="3">
        <v>1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7" t="s">
        <v>134</v>
      </c>
      <c r="BX447" s="7" t="s">
        <v>1215</v>
      </c>
    </row>
    <row r="448" spans="1:76">
      <c r="A448" s="3" t="s">
        <v>1220</v>
      </c>
      <c r="B448" s="3">
        <v>4761</v>
      </c>
      <c r="C448" s="3" t="s">
        <v>1213</v>
      </c>
      <c r="D448" s="3">
        <v>8</v>
      </c>
      <c r="E448" s="4">
        <v>69</v>
      </c>
      <c r="F448" s="3" t="s">
        <v>87</v>
      </c>
      <c r="G448" s="3">
        <v>0</v>
      </c>
      <c r="H448" s="3">
        <v>0</v>
      </c>
      <c r="I448" s="4">
        <v>3</v>
      </c>
      <c r="J448" s="4">
        <v>0</v>
      </c>
      <c r="K448" s="4">
        <v>3</v>
      </c>
      <c r="L448" s="5">
        <f>IF(F448="F",65.79,IF(F448="M",79.94,""))</f>
        <v>65.790000000000006</v>
      </c>
      <c r="M448" s="3">
        <f t="shared" si="42"/>
        <v>0</v>
      </c>
      <c r="N448" s="3" t="str">
        <f t="shared" si="43"/>
        <v>VSC-non-halitosis</v>
      </c>
      <c r="O448" s="3" t="str">
        <f t="shared" si="44"/>
        <v>Clinical- / VSC-</v>
      </c>
      <c r="P448" s="5">
        <f t="shared" si="45"/>
        <v>1.0986122886681098</v>
      </c>
      <c r="Q448" s="5">
        <f t="shared" si="46"/>
        <v>1.3862943611198906</v>
      </c>
      <c r="R448" s="5">
        <f t="shared" si="46"/>
        <v>0</v>
      </c>
      <c r="S448" s="5">
        <f t="shared" si="47"/>
        <v>0</v>
      </c>
      <c r="T448" s="3">
        <f t="shared" si="48"/>
        <v>0</v>
      </c>
      <c r="U448" s="3" t="s">
        <v>102</v>
      </c>
      <c r="V448" s="3">
        <v>1</v>
      </c>
      <c r="W448" s="6">
        <v>7.6</v>
      </c>
      <c r="X448" s="4">
        <v>12</v>
      </c>
      <c r="Y448" s="5">
        <v>1</v>
      </c>
      <c r="Z448" s="5">
        <v>2.5</v>
      </c>
      <c r="AA448" s="3" t="s">
        <v>80</v>
      </c>
      <c r="AB448" s="3">
        <v>0</v>
      </c>
      <c r="AC448" s="3" t="s">
        <v>81</v>
      </c>
      <c r="AD448" s="3">
        <v>0</v>
      </c>
      <c r="AE448" s="3" t="s">
        <v>98</v>
      </c>
      <c r="AF448" s="3">
        <v>0</v>
      </c>
      <c r="AG448" s="3" t="s">
        <v>98</v>
      </c>
      <c r="AH448" s="3">
        <v>0</v>
      </c>
      <c r="AI448" s="3">
        <v>1</v>
      </c>
      <c r="AJ448" s="3">
        <v>0</v>
      </c>
      <c r="AK448" s="3">
        <v>0</v>
      </c>
      <c r="AL448" s="3">
        <v>1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7" t="s">
        <v>186</v>
      </c>
      <c r="BX448" s="7"/>
    </row>
    <row r="449" spans="1:76" ht="34">
      <c r="A449" s="3" t="s">
        <v>1221</v>
      </c>
      <c r="B449" s="3">
        <v>6233</v>
      </c>
      <c r="C449" s="3" t="s">
        <v>1213</v>
      </c>
      <c r="D449" s="3">
        <v>8</v>
      </c>
      <c r="E449" s="4">
        <v>69</v>
      </c>
      <c r="F449" s="3" t="s">
        <v>87</v>
      </c>
      <c r="G449" s="3">
        <v>0</v>
      </c>
      <c r="H449" s="3">
        <v>0</v>
      </c>
      <c r="I449" s="4">
        <v>3</v>
      </c>
      <c r="J449" s="4">
        <v>0</v>
      </c>
      <c r="K449" s="4">
        <v>3</v>
      </c>
      <c r="L449" s="5">
        <f>IF(F449="F",65.79,IF(F449="M",79.94,""))</f>
        <v>65.790000000000006</v>
      </c>
      <c r="M449" s="3">
        <f t="shared" si="42"/>
        <v>0</v>
      </c>
      <c r="N449" s="3" t="str">
        <f t="shared" si="43"/>
        <v>VSC-non-halitosis</v>
      </c>
      <c r="O449" s="3" t="str">
        <f t="shared" si="44"/>
        <v>Clinical- / VSC-</v>
      </c>
      <c r="P449" s="5">
        <f t="shared" si="45"/>
        <v>1.0986122886681098</v>
      </c>
      <c r="Q449" s="5">
        <f t="shared" si="46"/>
        <v>1.3862943611198906</v>
      </c>
      <c r="R449" s="5">
        <f t="shared" si="46"/>
        <v>0</v>
      </c>
      <c r="S449" s="5">
        <f t="shared" si="47"/>
        <v>0</v>
      </c>
      <c r="T449" s="3">
        <f t="shared" si="48"/>
        <v>0</v>
      </c>
      <c r="U449" s="3" t="s">
        <v>102</v>
      </c>
      <c r="V449" s="3">
        <v>1</v>
      </c>
      <c r="W449" s="6">
        <v>7.6</v>
      </c>
      <c r="X449" s="4">
        <v>12</v>
      </c>
      <c r="Y449" s="5">
        <v>1</v>
      </c>
      <c r="Z449" s="5">
        <v>2.5</v>
      </c>
      <c r="AA449" s="3" t="s">
        <v>80</v>
      </c>
      <c r="AB449" s="3">
        <v>0</v>
      </c>
      <c r="AC449" s="3" t="s">
        <v>81</v>
      </c>
      <c r="AD449" s="3">
        <v>0</v>
      </c>
      <c r="AE449" s="3" t="s">
        <v>98</v>
      </c>
      <c r="AF449" s="3">
        <v>0</v>
      </c>
      <c r="AG449" s="3" t="s">
        <v>98</v>
      </c>
      <c r="AH449" s="3">
        <v>0</v>
      </c>
      <c r="AI449" s="3">
        <v>4</v>
      </c>
      <c r="AJ449" s="3">
        <v>4</v>
      </c>
      <c r="AK449" s="3">
        <v>1</v>
      </c>
      <c r="AL449" s="3">
        <v>1</v>
      </c>
      <c r="AM449" s="3">
        <v>1</v>
      </c>
      <c r="AN449" s="3">
        <v>1</v>
      </c>
      <c r="AO449" s="3">
        <v>0</v>
      </c>
      <c r="AP449" s="3">
        <v>0</v>
      </c>
      <c r="AQ449" s="3">
        <v>1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1</v>
      </c>
      <c r="BG449" s="3">
        <v>1</v>
      </c>
      <c r="BH449" s="3">
        <v>1</v>
      </c>
      <c r="BI449" s="3">
        <v>0</v>
      </c>
      <c r="BJ449" s="3">
        <v>0</v>
      </c>
      <c r="BK449" s="3">
        <v>1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7" t="s">
        <v>134</v>
      </c>
      <c r="BX449" s="7" t="s">
        <v>1215</v>
      </c>
    </row>
    <row r="450" spans="1:76">
      <c r="A450" s="3" t="s">
        <v>1222</v>
      </c>
      <c r="B450" s="3">
        <v>4816</v>
      </c>
      <c r="C450" s="3" t="s">
        <v>1223</v>
      </c>
      <c r="D450" s="3">
        <v>1</v>
      </c>
      <c r="E450" s="4">
        <v>36</v>
      </c>
      <c r="F450" s="3" t="s">
        <v>87</v>
      </c>
      <c r="G450" s="3">
        <v>0</v>
      </c>
      <c r="H450" s="3">
        <v>0</v>
      </c>
      <c r="I450" s="4">
        <v>208</v>
      </c>
      <c r="J450" s="4">
        <v>0</v>
      </c>
      <c r="K450" s="4">
        <v>208</v>
      </c>
      <c r="L450" s="5">
        <f>IF(F450="F",65.79,IF(F450="M",79.94,""))</f>
        <v>65.790000000000006</v>
      </c>
      <c r="M450" s="3">
        <f t="shared" ref="M450:M513" si="49">IF(AND(ISNUMBER(K450),ISNUMBER(L450),K450&gt;=L450),1,0)</f>
        <v>1</v>
      </c>
      <c r="N450" s="3" t="str">
        <f t="shared" ref="N450:N513" si="50">IF(M450=1,"VSC-halitosis","VSC-non-halitosis")</f>
        <v>VSC-halitosis</v>
      </c>
      <c r="O450" s="3" t="str">
        <f t="shared" ref="O450:O513" si="51">IF(AND(G450=1,M450=1),"Clinical+ / VSC+",IF(AND(G450=1,M450=0),"Clinical+ / VSC-",IF(AND(G450=0,M450=1),"Clinical- / VSC+","Clinical- / VSC-")))</f>
        <v>Clinical- / VSC+</v>
      </c>
      <c r="P450" s="5">
        <f t="shared" ref="P450:P513" si="52">IF(K450&gt;0,LN(K450),"")</f>
        <v>5.3375380797013179</v>
      </c>
      <c r="Q450" s="5">
        <f t="shared" ref="Q450:R513" si="53">IF(ISNUMBER(I450),LN(I450+1),"")</f>
        <v>5.3423342519648109</v>
      </c>
      <c r="R450" s="5">
        <f t="shared" si="53"/>
        <v>0</v>
      </c>
      <c r="S450" s="5">
        <f t="shared" ref="S450:S513" si="54">IF(K450&gt;0,J450/K450,"")</f>
        <v>0</v>
      </c>
      <c r="T450" s="3">
        <f t="shared" ref="T450:T513" si="55">IF(J450&gt;I450,1,0)</f>
        <v>0</v>
      </c>
      <c r="U450" s="3" t="s">
        <v>96</v>
      </c>
      <c r="V450" s="3">
        <v>3</v>
      </c>
      <c r="W450" s="6"/>
      <c r="X450" s="4">
        <v>10</v>
      </c>
      <c r="Y450" s="5">
        <v>0.3</v>
      </c>
      <c r="Z450" s="5">
        <v>0.8</v>
      </c>
      <c r="AA450" s="3" t="s">
        <v>80</v>
      </c>
      <c r="AB450" s="3">
        <v>0</v>
      </c>
      <c r="AC450" s="3" t="s">
        <v>81</v>
      </c>
      <c r="AD450" s="3">
        <v>0</v>
      </c>
      <c r="AE450" s="3" t="s">
        <v>98</v>
      </c>
      <c r="AF450" s="3">
        <v>0</v>
      </c>
      <c r="AG450" s="3" t="s">
        <v>82</v>
      </c>
      <c r="AH450" s="3">
        <v>1</v>
      </c>
      <c r="AI450" s="3">
        <v>1</v>
      </c>
      <c r="AJ450" s="3">
        <v>0</v>
      </c>
      <c r="AK450" s="3">
        <v>0</v>
      </c>
      <c r="AL450" s="3">
        <v>1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7" t="s">
        <v>186</v>
      </c>
      <c r="BX450" s="7" t="s">
        <v>80</v>
      </c>
    </row>
    <row r="451" spans="1:76">
      <c r="A451" s="3" t="s">
        <v>1224</v>
      </c>
      <c r="B451" s="3">
        <v>4840</v>
      </c>
      <c r="C451" s="3" t="s">
        <v>1225</v>
      </c>
      <c r="D451" s="3">
        <v>1</v>
      </c>
      <c r="E451" s="4">
        <v>67</v>
      </c>
      <c r="F451" s="3" t="s">
        <v>87</v>
      </c>
      <c r="G451" s="3">
        <v>0</v>
      </c>
      <c r="H451" s="3">
        <v>0</v>
      </c>
      <c r="I451" s="4">
        <v>20</v>
      </c>
      <c r="J451" s="4">
        <v>6</v>
      </c>
      <c r="K451" s="4">
        <v>26</v>
      </c>
      <c r="L451" s="5">
        <f>IF(F451="F",65.79,IF(F451="M",79.94,""))</f>
        <v>65.790000000000006</v>
      </c>
      <c r="M451" s="3">
        <f t="shared" si="49"/>
        <v>0</v>
      </c>
      <c r="N451" s="3" t="str">
        <f t="shared" si="50"/>
        <v>VSC-non-halitosis</v>
      </c>
      <c r="O451" s="3" t="str">
        <f t="shared" si="51"/>
        <v>Clinical- / VSC-</v>
      </c>
      <c r="P451" s="5">
        <f t="shared" si="52"/>
        <v>3.2580965380214821</v>
      </c>
      <c r="Q451" s="5">
        <f t="shared" si="53"/>
        <v>3.044522437723423</v>
      </c>
      <c r="R451" s="5">
        <f t="shared" si="53"/>
        <v>1.9459101490553132</v>
      </c>
      <c r="S451" s="5">
        <f t="shared" si="54"/>
        <v>0.23076923076923078</v>
      </c>
      <c r="T451" s="3">
        <f t="shared" si="55"/>
        <v>0</v>
      </c>
      <c r="U451" s="3" t="s">
        <v>79</v>
      </c>
      <c r="V451" s="3">
        <v>2</v>
      </c>
      <c r="W451" s="6"/>
      <c r="X451" s="4">
        <v>6</v>
      </c>
      <c r="Y451" s="5">
        <v>0.3</v>
      </c>
      <c r="Z451" s="5">
        <v>1</v>
      </c>
      <c r="AA451" s="3" t="s">
        <v>80</v>
      </c>
      <c r="AB451" s="3">
        <v>0</v>
      </c>
      <c r="AC451" s="3" t="s">
        <v>113</v>
      </c>
      <c r="AD451" s="3">
        <v>0</v>
      </c>
      <c r="AE451" s="3" t="s">
        <v>98</v>
      </c>
      <c r="AF451" s="3">
        <v>0</v>
      </c>
      <c r="AG451" s="3" t="s">
        <v>98</v>
      </c>
      <c r="AH451" s="3">
        <v>0</v>
      </c>
      <c r="AI451" s="3">
        <v>1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1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7" t="s">
        <v>1226</v>
      </c>
      <c r="BX451" s="7" t="s">
        <v>80</v>
      </c>
    </row>
    <row r="452" spans="1:76">
      <c r="A452" s="3" t="s">
        <v>1227</v>
      </c>
      <c r="B452" s="3">
        <v>4842</v>
      </c>
      <c r="C452" s="3" t="s">
        <v>1228</v>
      </c>
      <c r="D452" s="3">
        <v>1</v>
      </c>
      <c r="E452" s="4">
        <v>41</v>
      </c>
      <c r="F452" s="3" t="s">
        <v>87</v>
      </c>
      <c r="G452" s="3">
        <v>0</v>
      </c>
      <c r="H452" s="3">
        <v>0</v>
      </c>
      <c r="I452" s="4">
        <v>1</v>
      </c>
      <c r="J452" s="4">
        <v>0</v>
      </c>
      <c r="K452" s="4">
        <v>1</v>
      </c>
      <c r="L452" s="5">
        <f>IF(F452="F",65.79,IF(F452="M",79.94,""))</f>
        <v>65.790000000000006</v>
      </c>
      <c r="M452" s="3">
        <f t="shared" si="49"/>
        <v>0</v>
      </c>
      <c r="N452" s="3" t="str">
        <f t="shared" si="50"/>
        <v>VSC-non-halitosis</v>
      </c>
      <c r="O452" s="3" t="str">
        <f t="shared" si="51"/>
        <v>Clinical- / VSC-</v>
      </c>
      <c r="P452" s="5">
        <f t="shared" si="52"/>
        <v>0</v>
      </c>
      <c r="Q452" s="5">
        <f t="shared" si="53"/>
        <v>0.69314718055994529</v>
      </c>
      <c r="R452" s="5">
        <f t="shared" si="53"/>
        <v>0</v>
      </c>
      <c r="S452" s="5">
        <f t="shared" si="54"/>
        <v>0</v>
      </c>
      <c r="T452" s="3">
        <f t="shared" si="55"/>
        <v>0</v>
      </c>
      <c r="U452" s="3" t="s">
        <v>102</v>
      </c>
      <c r="V452" s="3">
        <v>1</v>
      </c>
      <c r="W452" s="6"/>
      <c r="X452" s="4">
        <v>7</v>
      </c>
      <c r="Y452" s="5">
        <v>0.5</v>
      </c>
      <c r="Z452" s="5">
        <v>2.2000000000000002</v>
      </c>
      <c r="AA452" s="3" t="s">
        <v>108</v>
      </c>
      <c r="AB452" s="3">
        <v>1</v>
      </c>
      <c r="AC452" s="3" t="s">
        <v>81</v>
      </c>
      <c r="AD452" s="3">
        <v>0</v>
      </c>
      <c r="AE452" s="3" t="s">
        <v>98</v>
      </c>
      <c r="AF452" s="3">
        <v>0</v>
      </c>
      <c r="AG452" s="3" t="s">
        <v>82</v>
      </c>
      <c r="AH452" s="3">
        <v>1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7" t="s">
        <v>80</v>
      </c>
      <c r="BX452" s="7" t="s">
        <v>80</v>
      </c>
    </row>
    <row r="453" spans="1:76">
      <c r="A453" s="3" t="s">
        <v>1229</v>
      </c>
      <c r="B453" s="3">
        <v>4893</v>
      </c>
      <c r="C453" s="3" t="s">
        <v>1230</v>
      </c>
      <c r="D453" s="3">
        <v>1</v>
      </c>
      <c r="E453" s="4">
        <v>74</v>
      </c>
      <c r="F453" s="3" t="s">
        <v>78</v>
      </c>
      <c r="G453" s="3">
        <v>0</v>
      </c>
      <c r="H453" s="3">
        <v>0</v>
      </c>
      <c r="I453" s="4">
        <v>1</v>
      </c>
      <c r="J453" s="4">
        <v>1</v>
      </c>
      <c r="K453" s="4">
        <v>2</v>
      </c>
      <c r="L453" s="5">
        <f>IF(F453="F",65.79,IF(F453="M",79.94,""))</f>
        <v>79.94</v>
      </c>
      <c r="M453" s="3">
        <f t="shared" si="49"/>
        <v>0</v>
      </c>
      <c r="N453" s="3" t="str">
        <f t="shared" si="50"/>
        <v>VSC-non-halitosis</v>
      </c>
      <c r="O453" s="3" t="str">
        <f t="shared" si="51"/>
        <v>Clinical- / VSC-</v>
      </c>
      <c r="P453" s="5">
        <f t="shared" si="52"/>
        <v>0.69314718055994529</v>
      </c>
      <c r="Q453" s="5">
        <f t="shared" si="53"/>
        <v>0.69314718055994529</v>
      </c>
      <c r="R453" s="5">
        <f t="shared" si="53"/>
        <v>0.69314718055994529</v>
      </c>
      <c r="S453" s="5">
        <f t="shared" si="54"/>
        <v>0.5</v>
      </c>
      <c r="T453" s="3">
        <f t="shared" si="55"/>
        <v>0</v>
      </c>
      <c r="U453" s="3" t="s">
        <v>102</v>
      </c>
      <c r="V453" s="3">
        <v>1</v>
      </c>
      <c r="W453" s="6">
        <v>7.4</v>
      </c>
      <c r="X453" s="4">
        <v>10</v>
      </c>
      <c r="Y453" s="5">
        <v>0.6</v>
      </c>
      <c r="Z453" s="5">
        <v>3</v>
      </c>
      <c r="AA453" s="3" t="s">
        <v>108</v>
      </c>
      <c r="AB453" s="3">
        <v>1</v>
      </c>
      <c r="AC453" s="3" t="s">
        <v>81</v>
      </c>
      <c r="AD453" s="3">
        <v>0</v>
      </c>
      <c r="AE453" s="3" t="s">
        <v>82</v>
      </c>
      <c r="AF453" s="3">
        <v>1</v>
      </c>
      <c r="AG453" s="3" t="s">
        <v>98</v>
      </c>
      <c r="AH453" s="3">
        <v>0</v>
      </c>
      <c r="AI453" s="3">
        <v>2</v>
      </c>
      <c r="AJ453" s="3">
        <v>0</v>
      </c>
      <c r="AK453" s="3">
        <v>0</v>
      </c>
      <c r="AL453" s="3">
        <v>1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1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7" t="s">
        <v>1231</v>
      </c>
      <c r="BX453" s="7" t="s">
        <v>1232</v>
      </c>
    </row>
    <row r="454" spans="1:76">
      <c r="A454" s="3" t="s">
        <v>1233</v>
      </c>
      <c r="B454" s="3">
        <v>4903</v>
      </c>
      <c r="C454" s="3" t="s">
        <v>1234</v>
      </c>
      <c r="D454" s="3">
        <v>1</v>
      </c>
      <c r="E454" s="4">
        <v>43</v>
      </c>
      <c r="F454" s="3" t="s">
        <v>87</v>
      </c>
      <c r="G454" s="3">
        <v>0</v>
      </c>
      <c r="H454" s="3">
        <v>0</v>
      </c>
      <c r="I454" s="4">
        <v>3</v>
      </c>
      <c r="J454" s="4">
        <v>1</v>
      </c>
      <c r="K454" s="4">
        <v>4</v>
      </c>
      <c r="L454" s="5">
        <f>IF(F454="F",65.79,IF(F454="M",79.94,""))</f>
        <v>65.790000000000006</v>
      </c>
      <c r="M454" s="3">
        <f t="shared" si="49"/>
        <v>0</v>
      </c>
      <c r="N454" s="3" t="str">
        <f t="shared" si="50"/>
        <v>VSC-non-halitosis</v>
      </c>
      <c r="O454" s="3" t="str">
        <f t="shared" si="51"/>
        <v>Clinical- / VSC-</v>
      </c>
      <c r="P454" s="5">
        <f t="shared" si="52"/>
        <v>1.3862943611198906</v>
      </c>
      <c r="Q454" s="5">
        <f t="shared" si="53"/>
        <v>1.3862943611198906</v>
      </c>
      <c r="R454" s="5">
        <f t="shared" si="53"/>
        <v>0.69314718055994529</v>
      </c>
      <c r="S454" s="5">
        <f t="shared" si="54"/>
        <v>0.25</v>
      </c>
      <c r="T454" s="3">
        <f t="shared" si="55"/>
        <v>0</v>
      </c>
      <c r="U454" s="3" t="s">
        <v>79</v>
      </c>
      <c r="V454" s="3">
        <v>2</v>
      </c>
      <c r="W454" s="6"/>
      <c r="X454" s="4">
        <v>6</v>
      </c>
      <c r="Y454" s="5">
        <v>0.625</v>
      </c>
      <c r="Z454" s="5">
        <v>1.2</v>
      </c>
      <c r="AA454" s="3" t="s">
        <v>108</v>
      </c>
      <c r="AB454" s="3">
        <v>1</v>
      </c>
      <c r="AC454" s="3" t="s">
        <v>81</v>
      </c>
      <c r="AD454" s="3">
        <v>0</v>
      </c>
      <c r="AE454" s="3" t="s">
        <v>98</v>
      </c>
      <c r="AF454" s="3">
        <v>0</v>
      </c>
      <c r="AG454" s="3" t="s">
        <v>82</v>
      </c>
      <c r="AH454" s="3">
        <v>1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7"/>
      <c r="BX454" s="7" t="s">
        <v>1235</v>
      </c>
    </row>
    <row r="455" spans="1:76">
      <c r="A455" s="3" t="s">
        <v>1236</v>
      </c>
      <c r="B455" s="3">
        <v>4916</v>
      </c>
      <c r="C455" s="3" t="s">
        <v>1237</v>
      </c>
      <c r="D455" s="3">
        <v>1</v>
      </c>
      <c r="E455" s="4">
        <v>52</v>
      </c>
      <c r="F455" s="3" t="s">
        <v>78</v>
      </c>
      <c r="G455" s="3">
        <v>0</v>
      </c>
      <c r="H455" s="3">
        <v>0</v>
      </c>
      <c r="I455" s="4">
        <v>165</v>
      </c>
      <c r="J455" s="4">
        <v>2</v>
      </c>
      <c r="K455" s="4">
        <v>167</v>
      </c>
      <c r="L455" s="5">
        <f>IF(F455="F",65.79,IF(F455="M",79.94,""))</f>
        <v>79.94</v>
      </c>
      <c r="M455" s="3">
        <f t="shared" si="49"/>
        <v>1</v>
      </c>
      <c r="N455" s="3" t="str">
        <f t="shared" si="50"/>
        <v>VSC-halitosis</v>
      </c>
      <c r="O455" s="3" t="str">
        <f t="shared" si="51"/>
        <v>Clinical- / VSC+</v>
      </c>
      <c r="P455" s="5">
        <f t="shared" si="52"/>
        <v>5.1179938124167554</v>
      </c>
      <c r="Q455" s="5">
        <f t="shared" si="53"/>
        <v>5.1119877883565437</v>
      </c>
      <c r="R455" s="5">
        <f t="shared" si="53"/>
        <v>1.0986122886681098</v>
      </c>
      <c r="S455" s="5">
        <f t="shared" si="54"/>
        <v>1.1976047904191617E-2</v>
      </c>
      <c r="T455" s="3">
        <f t="shared" si="55"/>
        <v>0</v>
      </c>
      <c r="U455" s="3" t="s">
        <v>96</v>
      </c>
      <c r="V455" s="3">
        <v>3</v>
      </c>
      <c r="W455" s="6"/>
      <c r="X455" s="4">
        <v>11</v>
      </c>
      <c r="Y455" s="5">
        <v>0.25</v>
      </c>
      <c r="Z455" s="5">
        <v>1</v>
      </c>
      <c r="AA455" s="3" t="s">
        <v>80</v>
      </c>
      <c r="AB455" s="3">
        <v>0</v>
      </c>
      <c r="AC455" s="3" t="s">
        <v>81</v>
      </c>
      <c r="AD455" s="3">
        <v>0</v>
      </c>
      <c r="AE455" s="3" t="s">
        <v>82</v>
      </c>
      <c r="AF455" s="3">
        <v>1</v>
      </c>
      <c r="AG455" s="3" t="s">
        <v>82</v>
      </c>
      <c r="AH455" s="3">
        <v>1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7" t="s">
        <v>80</v>
      </c>
      <c r="BX455" s="7" t="s">
        <v>80</v>
      </c>
    </row>
    <row r="456" spans="1:76">
      <c r="A456" s="3" t="s">
        <v>1238</v>
      </c>
      <c r="B456" s="3">
        <v>4943</v>
      </c>
      <c r="C456" s="3" t="s">
        <v>1239</v>
      </c>
      <c r="D456" s="3">
        <v>1</v>
      </c>
      <c r="E456" s="4">
        <v>81</v>
      </c>
      <c r="F456" s="3" t="s">
        <v>87</v>
      </c>
      <c r="G456" s="3">
        <v>0</v>
      </c>
      <c r="H456" s="3">
        <v>0</v>
      </c>
      <c r="I456" s="4">
        <v>0</v>
      </c>
      <c r="J456" s="4">
        <v>1</v>
      </c>
      <c r="K456" s="4">
        <v>1</v>
      </c>
      <c r="L456" s="5">
        <f>IF(F456="F",65.79,IF(F456="M",79.94,""))</f>
        <v>65.790000000000006</v>
      </c>
      <c r="M456" s="3">
        <f t="shared" si="49"/>
        <v>0</v>
      </c>
      <c r="N456" s="3" t="str">
        <f t="shared" si="50"/>
        <v>VSC-non-halitosis</v>
      </c>
      <c r="O456" s="3" t="str">
        <f t="shared" si="51"/>
        <v>Clinical- / VSC-</v>
      </c>
      <c r="P456" s="5">
        <f t="shared" si="52"/>
        <v>0</v>
      </c>
      <c r="Q456" s="5">
        <f t="shared" si="53"/>
        <v>0</v>
      </c>
      <c r="R456" s="5">
        <f t="shared" si="53"/>
        <v>0.69314718055994529</v>
      </c>
      <c r="S456" s="5">
        <f t="shared" si="54"/>
        <v>1</v>
      </c>
      <c r="T456" s="3">
        <f t="shared" si="55"/>
        <v>1</v>
      </c>
      <c r="U456" s="3" t="s">
        <v>102</v>
      </c>
      <c r="V456" s="3">
        <v>1</v>
      </c>
      <c r="W456" s="6">
        <v>5.8</v>
      </c>
      <c r="X456" s="4">
        <v>11</v>
      </c>
      <c r="Y456" s="5">
        <v>0.2</v>
      </c>
      <c r="Z456" s="5">
        <v>1.2</v>
      </c>
      <c r="AA456" s="3" t="s">
        <v>108</v>
      </c>
      <c r="AB456" s="3">
        <v>1</v>
      </c>
      <c r="AC456" s="3" t="s">
        <v>81</v>
      </c>
      <c r="AD456" s="3">
        <v>0</v>
      </c>
      <c r="AE456" s="3" t="s">
        <v>98</v>
      </c>
      <c r="AF456" s="3">
        <v>0</v>
      </c>
      <c r="AG456" s="3" t="s">
        <v>98</v>
      </c>
      <c r="AH456" s="3">
        <v>0</v>
      </c>
      <c r="AI456" s="3">
        <v>0</v>
      </c>
      <c r="AJ456" s="3">
        <v>1</v>
      </c>
      <c r="AK456" s="3">
        <v>1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1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7" t="s">
        <v>80</v>
      </c>
      <c r="BX456" s="7" t="s">
        <v>1240</v>
      </c>
    </row>
    <row r="457" spans="1:76">
      <c r="A457" s="3" t="s">
        <v>1241</v>
      </c>
      <c r="B457" s="3">
        <v>4951</v>
      </c>
      <c r="C457" s="3" t="s">
        <v>1242</v>
      </c>
      <c r="D457" s="3">
        <v>1</v>
      </c>
      <c r="E457" s="4">
        <v>57</v>
      </c>
      <c r="F457" s="3" t="s">
        <v>78</v>
      </c>
      <c r="G457" s="3">
        <v>0</v>
      </c>
      <c r="H457" s="3">
        <v>0</v>
      </c>
      <c r="I457" s="4">
        <v>7</v>
      </c>
      <c r="J457" s="4">
        <v>6</v>
      </c>
      <c r="K457" s="4">
        <v>13</v>
      </c>
      <c r="L457" s="5">
        <f>IF(F457="F",65.79,IF(F457="M",79.94,""))</f>
        <v>79.94</v>
      </c>
      <c r="M457" s="3">
        <f t="shared" si="49"/>
        <v>0</v>
      </c>
      <c r="N457" s="3" t="str">
        <f t="shared" si="50"/>
        <v>VSC-non-halitosis</v>
      </c>
      <c r="O457" s="3" t="str">
        <f t="shared" si="51"/>
        <v>Clinical- / VSC-</v>
      </c>
      <c r="P457" s="5">
        <f t="shared" si="52"/>
        <v>2.5649493574615367</v>
      </c>
      <c r="Q457" s="5">
        <f t="shared" si="53"/>
        <v>2.0794415416798357</v>
      </c>
      <c r="R457" s="5">
        <f t="shared" si="53"/>
        <v>1.9459101490553132</v>
      </c>
      <c r="S457" s="5">
        <f t="shared" si="54"/>
        <v>0.46153846153846156</v>
      </c>
      <c r="T457" s="3">
        <f t="shared" si="55"/>
        <v>0</v>
      </c>
      <c r="U457" s="3" t="s">
        <v>79</v>
      </c>
      <c r="V457" s="3">
        <v>2</v>
      </c>
      <c r="W457" s="6">
        <v>6.4</v>
      </c>
      <c r="X457" s="4">
        <v>7</v>
      </c>
      <c r="Y457" s="5">
        <v>0.55000000000000004</v>
      </c>
      <c r="Z457" s="5">
        <v>2.5</v>
      </c>
      <c r="AA457" s="3" t="s">
        <v>80</v>
      </c>
      <c r="AB457" s="3">
        <v>0</v>
      </c>
      <c r="AC457" s="3" t="s">
        <v>81</v>
      </c>
      <c r="AD457" s="3">
        <v>0</v>
      </c>
      <c r="AE457" s="3" t="s">
        <v>82</v>
      </c>
      <c r="AF457" s="3">
        <v>1</v>
      </c>
      <c r="AG457" s="3" t="s">
        <v>98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7" t="s">
        <v>80</v>
      </c>
      <c r="BX457" s="7" t="s">
        <v>80</v>
      </c>
    </row>
    <row r="458" spans="1:76">
      <c r="A458" s="3" t="s">
        <v>1243</v>
      </c>
      <c r="B458" s="3">
        <v>4955</v>
      </c>
      <c r="C458" s="3" t="s">
        <v>1244</v>
      </c>
      <c r="D458" s="3">
        <v>1</v>
      </c>
      <c r="E458" s="4">
        <v>58</v>
      </c>
      <c r="F458" s="3" t="s">
        <v>87</v>
      </c>
      <c r="G458" s="3">
        <v>0</v>
      </c>
      <c r="H458" s="3">
        <v>0</v>
      </c>
      <c r="I458" s="4">
        <v>1</v>
      </c>
      <c r="J458" s="4">
        <v>0</v>
      </c>
      <c r="K458" s="4">
        <v>1</v>
      </c>
      <c r="L458" s="5">
        <f>IF(F458="F",65.79,IF(F458="M",79.94,""))</f>
        <v>65.790000000000006</v>
      </c>
      <c r="M458" s="3">
        <f t="shared" si="49"/>
        <v>0</v>
      </c>
      <c r="N458" s="3" t="str">
        <f t="shared" si="50"/>
        <v>VSC-non-halitosis</v>
      </c>
      <c r="O458" s="3" t="str">
        <f t="shared" si="51"/>
        <v>Clinical- / VSC-</v>
      </c>
      <c r="P458" s="5">
        <f t="shared" si="52"/>
        <v>0</v>
      </c>
      <c r="Q458" s="5">
        <f t="shared" si="53"/>
        <v>0.69314718055994529</v>
      </c>
      <c r="R458" s="5">
        <f t="shared" si="53"/>
        <v>0</v>
      </c>
      <c r="S458" s="5">
        <f t="shared" si="54"/>
        <v>0</v>
      </c>
      <c r="T458" s="3">
        <f t="shared" si="55"/>
        <v>0</v>
      </c>
      <c r="U458" s="3" t="s">
        <v>102</v>
      </c>
      <c r="V458" s="3">
        <v>1</v>
      </c>
      <c r="W458" s="6">
        <v>7.5</v>
      </c>
      <c r="X458" s="4">
        <v>10</v>
      </c>
      <c r="Y458" s="5">
        <v>1.25</v>
      </c>
      <c r="Z458" s="5">
        <v>3</v>
      </c>
      <c r="AA458" s="3" t="s">
        <v>80</v>
      </c>
      <c r="AB458" s="3">
        <v>0</v>
      </c>
      <c r="AC458" s="3" t="s">
        <v>81</v>
      </c>
      <c r="AD458" s="3">
        <v>0</v>
      </c>
      <c r="AE458" s="3" t="s">
        <v>98</v>
      </c>
      <c r="AF458" s="3">
        <v>0</v>
      </c>
      <c r="AG458" s="3" t="s">
        <v>98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7" t="s">
        <v>80</v>
      </c>
      <c r="BX458" s="7" t="s">
        <v>1245</v>
      </c>
    </row>
    <row r="459" spans="1:76">
      <c r="A459" s="3" t="s">
        <v>1246</v>
      </c>
      <c r="B459" s="3">
        <v>4965</v>
      </c>
      <c r="C459" s="3" t="s">
        <v>1247</v>
      </c>
      <c r="D459" s="3">
        <v>1</v>
      </c>
      <c r="E459" s="4">
        <v>58</v>
      </c>
      <c r="F459" s="3" t="s">
        <v>87</v>
      </c>
      <c r="G459" s="3">
        <v>0</v>
      </c>
      <c r="H459" s="3">
        <v>0</v>
      </c>
      <c r="I459" s="4">
        <v>14</v>
      </c>
      <c r="J459" s="4">
        <v>2</v>
      </c>
      <c r="K459" s="4">
        <v>16</v>
      </c>
      <c r="L459" s="5">
        <f>IF(F459="F",65.79,IF(F459="M",79.94,""))</f>
        <v>65.790000000000006</v>
      </c>
      <c r="M459" s="3">
        <f t="shared" si="49"/>
        <v>0</v>
      </c>
      <c r="N459" s="3" t="str">
        <f t="shared" si="50"/>
        <v>VSC-non-halitosis</v>
      </c>
      <c r="O459" s="3" t="str">
        <f t="shared" si="51"/>
        <v>Clinical- / VSC-</v>
      </c>
      <c r="P459" s="5">
        <f t="shared" si="52"/>
        <v>2.7725887222397811</v>
      </c>
      <c r="Q459" s="5">
        <f t="shared" si="53"/>
        <v>2.7080502011022101</v>
      </c>
      <c r="R459" s="5">
        <f t="shared" si="53"/>
        <v>1.0986122886681098</v>
      </c>
      <c r="S459" s="5">
        <f t="shared" si="54"/>
        <v>0.125</v>
      </c>
      <c r="T459" s="3">
        <f t="shared" si="55"/>
        <v>0</v>
      </c>
      <c r="U459" s="3" t="s">
        <v>79</v>
      </c>
      <c r="V459" s="3">
        <v>2</v>
      </c>
      <c r="W459" s="6">
        <v>7.6</v>
      </c>
      <c r="X459" s="4">
        <v>11</v>
      </c>
      <c r="Y459" s="5">
        <v>0.4</v>
      </c>
      <c r="Z459" s="5">
        <v>1</v>
      </c>
      <c r="AA459" s="3" t="s">
        <v>80</v>
      </c>
      <c r="AB459" s="3">
        <v>0</v>
      </c>
      <c r="AC459" s="3" t="s">
        <v>81</v>
      </c>
      <c r="AD459" s="3">
        <v>0</v>
      </c>
      <c r="AE459" s="3" t="s">
        <v>98</v>
      </c>
      <c r="AF459" s="3">
        <v>0</v>
      </c>
      <c r="AG459" s="3" t="s">
        <v>82</v>
      </c>
      <c r="AH459" s="3">
        <v>1</v>
      </c>
      <c r="AI459" s="3">
        <v>0</v>
      </c>
      <c r="AJ459" s="3">
        <v>1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1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7"/>
      <c r="BX459" s="7" t="s">
        <v>1248</v>
      </c>
    </row>
    <row r="460" spans="1:76">
      <c r="A460" s="3" t="s">
        <v>1249</v>
      </c>
      <c r="B460" s="3">
        <v>5006</v>
      </c>
      <c r="C460" s="3" t="s">
        <v>1250</v>
      </c>
      <c r="D460" s="3">
        <v>1</v>
      </c>
      <c r="E460" s="4">
        <v>55</v>
      </c>
      <c r="F460" s="3" t="s">
        <v>78</v>
      </c>
      <c r="G460" s="3">
        <v>0</v>
      </c>
      <c r="H460" s="3">
        <v>0</v>
      </c>
      <c r="I460" s="4">
        <v>1</v>
      </c>
      <c r="J460" s="4">
        <v>0</v>
      </c>
      <c r="K460" s="4">
        <v>1</v>
      </c>
      <c r="L460" s="5">
        <f>IF(F460="F",65.79,IF(F460="M",79.94,""))</f>
        <v>79.94</v>
      </c>
      <c r="M460" s="3">
        <f t="shared" si="49"/>
        <v>0</v>
      </c>
      <c r="N460" s="3" t="str">
        <f t="shared" si="50"/>
        <v>VSC-non-halitosis</v>
      </c>
      <c r="O460" s="3" t="str">
        <f t="shared" si="51"/>
        <v>Clinical- / VSC-</v>
      </c>
      <c r="P460" s="5">
        <f t="shared" si="52"/>
        <v>0</v>
      </c>
      <c r="Q460" s="5">
        <f t="shared" si="53"/>
        <v>0.69314718055994529</v>
      </c>
      <c r="R460" s="5">
        <f t="shared" si="53"/>
        <v>0</v>
      </c>
      <c r="S460" s="5">
        <f t="shared" si="54"/>
        <v>0</v>
      </c>
      <c r="T460" s="3">
        <f t="shared" si="55"/>
        <v>0</v>
      </c>
      <c r="U460" s="3" t="s">
        <v>102</v>
      </c>
      <c r="V460" s="3">
        <v>1</v>
      </c>
      <c r="W460" s="6">
        <v>6.8</v>
      </c>
      <c r="X460" s="4">
        <v>10</v>
      </c>
      <c r="Y460" s="5">
        <v>0.75</v>
      </c>
      <c r="Z460" s="5">
        <v>2.6</v>
      </c>
      <c r="AA460" s="3" t="s">
        <v>88</v>
      </c>
      <c r="AB460" s="3">
        <v>0</v>
      </c>
      <c r="AC460" s="3" t="s">
        <v>81</v>
      </c>
      <c r="AD460" s="3">
        <v>0</v>
      </c>
      <c r="AE460" s="3" t="s">
        <v>98</v>
      </c>
      <c r="AF460" s="3">
        <v>0</v>
      </c>
      <c r="AG460" s="3" t="s">
        <v>82</v>
      </c>
      <c r="AH460" s="3">
        <v>1</v>
      </c>
      <c r="AI460" s="3">
        <v>2</v>
      </c>
      <c r="AJ460" s="3">
        <v>1</v>
      </c>
      <c r="AK460" s="3">
        <v>0</v>
      </c>
      <c r="AL460" s="3">
        <v>0</v>
      </c>
      <c r="AM460" s="3">
        <v>1</v>
      </c>
      <c r="AN460" s="3">
        <v>1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1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7" t="s">
        <v>697</v>
      </c>
      <c r="BX460" s="7"/>
    </row>
    <row r="461" spans="1:76">
      <c r="A461" s="3" t="s">
        <v>1251</v>
      </c>
      <c r="B461" s="3">
        <v>5024</v>
      </c>
      <c r="C461" s="3" t="s">
        <v>1252</v>
      </c>
      <c r="D461" s="3">
        <v>1</v>
      </c>
      <c r="E461" s="4">
        <v>65</v>
      </c>
      <c r="F461" s="3" t="s">
        <v>87</v>
      </c>
      <c r="G461" s="3">
        <v>0</v>
      </c>
      <c r="H461" s="3">
        <v>1</v>
      </c>
      <c r="I461" s="4">
        <v>0</v>
      </c>
      <c r="J461" s="4">
        <v>1</v>
      </c>
      <c r="K461" s="4">
        <v>1</v>
      </c>
      <c r="L461" s="5">
        <f>IF(F461="F",65.79,IF(F461="M",79.94,""))</f>
        <v>65.790000000000006</v>
      </c>
      <c r="M461" s="3">
        <f t="shared" si="49"/>
        <v>0</v>
      </c>
      <c r="N461" s="3" t="str">
        <f t="shared" si="50"/>
        <v>VSC-non-halitosis</v>
      </c>
      <c r="O461" s="3" t="str">
        <f t="shared" si="51"/>
        <v>Clinical- / VSC-</v>
      </c>
      <c r="P461" s="5">
        <f t="shared" si="52"/>
        <v>0</v>
      </c>
      <c r="Q461" s="5">
        <f t="shared" si="53"/>
        <v>0</v>
      </c>
      <c r="R461" s="5">
        <f t="shared" si="53"/>
        <v>0.69314718055994529</v>
      </c>
      <c r="S461" s="5">
        <f t="shared" si="54"/>
        <v>1</v>
      </c>
      <c r="T461" s="3">
        <f t="shared" si="55"/>
        <v>1</v>
      </c>
      <c r="U461" s="3" t="s">
        <v>102</v>
      </c>
      <c r="V461" s="3">
        <v>1</v>
      </c>
      <c r="W461" s="6">
        <v>5.2</v>
      </c>
      <c r="X461" s="4">
        <v>0</v>
      </c>
      <c r="Y461" s="5">
        <v>0.1</v>
      </c>
      <c r="Z461" s="5">
        <v>0.2</v>
      </c>
      <c r="AA461" s="3"/>
      <c r="AB461" s="3">
        <v>0</v>
      </c>
      <c r="AC461" s="3" t="s">
        <v>81</v>
      </c>
      <c r="AD461" s="3">
        <v>0</v>
      </c>
      <c r="AE461" s="3" t="s">
        <v>82</v>
      </c>
      <c r="AF461" s="3">
        <v>1</v>
      </c>
      <c r="AG461" s="3" t="s">
        <v>82</v>
      </c>
      <c r="AH461" s="3">
        <v>1</v>
      </c>
      <c r="AI461" s="3">
        <v>1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1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7" t="s">
        <v>890</v>
      </c>
      <c r="BX461" s="7"/>
    </row>
    <row r="462" spans="1:76">
      <c r="A462" s="3" t="s">
        <v>1253</v>
      </c>
      <c r="B462" s="3">
        <v>5043</v>
      </c>
      <c r="C462" s="3" t="s">
        <v>1254</v>
      </c>
      <c r="D462" s="3">
        <v>1</v>
      </c>
      <c r="E462" s="4">
        <v>62</v>
      </c>
      <c r="F462" s="3" t="s">
        <v>87</v>
      </c>
      <c r="G462" s="3">
        <v>0</v>
      </c>
      <c r="H462" s="3">
        <v>0</v>
      </c>
      <c r="I462" s="4">
        <v>3</v>
      </c>
      <c r="J462" s="4">
        <v>1</v>
      </c>
      <c r="K462" s="4">
        <v>4</v>
      </c>
      <c r="L462" s="5">
        <f>IF(F462="F",65.79,IF(F462="M",79.94,""))</f>
        <v>65.790000000000006</v>
      </c>
      <c r="M462" s="3">
        <f t="shared" si="49"/>
        <v>0</v>
      </c>
      <c r="N462" s="3" t="str">
        <f t="shared" si="50"/>
        <v>VSC-non-halitosis</v>
      </c>
      <c r="O462" s="3" t="str">
        <f t="shared" si="51"/>
        <v>Clinical- / VSC-</v>
      </c>
      <c r="P462" s="5">
        <f t="shared" si="52"/>
        <v>1.3862943611198906</v>
      </c>
      <c r="Q462" s="5">
        <f t="shared" si="53"/>
        <v>1.3862943611198906</v>
      </c>
      <c r="R462" s="5">
        <f t="shared" si="53"/>
        <v>0.69314718055994529</v>
      </c>
      <c r="S462" s="5">
        <f t="shared" si="54"/>
        <v>0.25</v>
      </c>
      <c r="T462" s="3">
        <f t="shared" si="55"/>
        <v>0</v>
      </c>
      <c r="U462" s="3" t="s">
        <v>79</v>
      </c>
      <c r="V462" s="3">
        <v>2</v>
      </c>
      <c r="W462" s="6">
        <v>6.8</v>
      </c>
      <c r="X462" s="4">
        <v>9</v>
      </c>
      <c r="Y462" s="5">
        <v>0.5</v>
      </c>
      <c r="Z462" s="5">
        <v>1</v>
      </c>
      <c r="AA462" s="3" t="s">
        <v>88</v>
      </c>
      <c r="AB462" s="3">
        <v>0</v>
      </c>
      <c r="AC462" s="3" t="s">
        <v>81</v>
      </c>
      <c r="AD462" s="3">
        <v>0</v>
      </c>
      <c r="AE462" s="3" t="s">
        <v>82</v>
      </c>
      <c r="AF462" s="3">
        <v>1</v>
      </c>
      <c r="AG462" s="3" t="s">
        <v>103</v>
      </c>
      <c r="AH462" s="3">
        <v>1</v>
      </c>
      <c r="AI462" s="3">
        <v>1</v>
      </c>
      <c r="AJ462" s="3">
        <v>1</v>
      </c>
      <c r="AK462" s="3">
        <v>1</v>
      </c>
      <c r="AL462" s="3">
        <v>0</v>
      </c>
      <c r="AM462" s="3">
        <v>1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1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7" t="s">
        <v>1255</v>
      </c>
      <c r="BX462" s="7" t="s">
        <v>1256</v>
      </c>
    </row>
    <row r="463" spans="1:76" ht="34">
      <c r="A463" s="3" t="s">
        <v>1257</v>
      </c>
      <c r="B463" s="3">
        <v>5079</v>
      </c>
      <c r="C463" s="3" t="s">
        <v>1258</v>
      </c>
      <c r="D463" s="3">
        <v>1</v>
      </c>
      <c r="E463" s="4">
        <v>42</v>
      </c>
      <c r="F463" s="3" t="s">
        <v>78</v>
      </c>
      <c r="G463" s="3">
        <v>1</v>
      </c>
      <c r="H463" s="3">
        <v>0</v>
      </c>
      <c r="I463" s="4">
        <v>107</v>
      </c>
      <c r="J463" s="4">
        <v>6</v>
      </c>
      <c r="K463" s="4">
        <v>113</v>
      </c>
      <c r="L463" s="5">
        <f>IF(F463="F",65.79,IF(F463="M",79.94,""))</f>
        <v>79.94</v>
      </c>
      <c r="M463" s="3">
        <f t="shared" si="49"/>
        <v>1</v>
      </c>
      <c r="N463" s="3" t="str">
        <f t="shared" si="50"/>
        <v>VSC-halitosis</v>
      </c>
      <c r="O463" s="3" t="str">
        <f t="shared" si="51"/>
        <v>Clinical+ / VSC+</v>
      </c>
      <c r="P463" s="5">
        <f t="shared" si="52"/>
        <v>4.7273878187123408</v>
      </c>
      <c r="Q463" s="5">
        <f t="shared" si="53"/>
        <v>4.6821312271242199</v>
      </c>
      <c r="R463" s="5">
        <f t="shared" si="53"/>
        <v>1.9459101490553132</v>
      </c>
      <c r="S463" s="5">
        <f t="shared" si="54"/>
        <v>5.3097345132743362E-2</v>
      </c>
      <c r="T463" s="3">
        <f t="shared" si="55"/>
        <v>0</v>
      </c>
      <c r="U463" s="3" t="s">
        <v>96</v>
      </c>
      <c r="V463" s="3">
        <v>3</v>
      </c>
      <c r="W463" s="6">
        <v>7.6</v>
      </c>
      <c r="X463" s="4">
        <v>9</v>
      </c>
      <c r="Y463" s="5">
        <v>0.8</v>
      </c>
      <c r="Z463" s="5">
        <v>1.8</v>
      </c>
      <c r="AA463" s="3" t="s">
        <v>88</v>
      </c>
      <c r="AB463" s="3">
        <v>0</v>
      </c>
      <c r="AC463" s="3" t="s">
        <v>113</v>
      </c>
      <c r="AD463" s="3">
        <v>0</v>
      </c>
      <c r="AE463" s="3" t="s">
        <v>82</v>
      </c>
      <c r="AF463" s="3">
        <v>1</v>
      </c>
      <c r="AG463" s="3" t="s">
        <v>82</v>
      </c>
      <c r="AH463" s="3">
        <v>1</v>
      </c>
      <c r="AI463" s="3">
        <v>0</v>
      </c>
      <c r="AJ463" s="3">
        <v>1</v>
      </c>
      <c r="AK463" s="3">
        <v>1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1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7" t="s">
        <v>1259</v>
      </c>
      <c r="BX463" s="7" t="s">
        <v>1260</v>
      </c>
    </row>
    <row r="464" spans="1:76">
      <c r="A464" s="3" t="s">
        <v>1261</v>
      </c>
      <c r="B464" s="3">
        <v>5057</v>
      </c>
      <c r="C464" s="3" t="s">
        <v>1262</v>
      </c>
      <c r="D464" s="3">
        <v>1</v>
      </c>
      <c r="E464" s="4">
        <v>33</v>
      </c>
      <c r="F464" s="3" t="s">
        <v>78</v>
      </c>
      <c r="G464" s="3">
        <v>1</v>
      </c>
      <c r="H464" s="3">
        <v>0</v>
      </c>
      <c r="I464" s="4">
        <v>13</v>
      </c>
      <c r="J464" s="4">
        <v>1</v>
      </c>
      <c r="K464" s="4">
        <v>14</v>
      </c>
      <c r="L464" s="5">
        <f>IF(F464="F",65.79,IF(F464="M",79.94,""))</f>
        <v>79.94</v>
      </c>
      <c r="M464" s="3">
        <f t="shared" si="49"/>
        <v>0</v>
      </c>
      <c r="N464" s="3" t="str">
        <f t="shared" si="50"/>
        <v>VSC-non-halitosis</v>
      </c>
      <c r="O464" s="3" t="str">
        <f t="shared" si="51"/>
        <v>Clinical+ / VSC-</v>
      </c>
      <c r="P464" s="5">
        <f t="shared" si="52"/>
        <v>2.6390573296152584</v>
      </c>
      <c r="Q464" s="5">
        <f t="shared" si="53"/>
        <v>2.6390573296152584</v>
      </c>
      <c r="R464" s="5">
        <f t="shared" si="53"/>
        <v>0.69314718055994529</v>
      </c>
      <c r="S464" s="5">
        <f t="shared" si="54"/>
        <v>7.1428571428571425E-2</v>
      </c>
      <c r="T464" s="3">
        <f t="shared" si="55"/>
        <v>0</v>
      </c>
      <c r="U464" s="3" t="s">
        <v>79</v>
      </c>
      <c r="V464" s="3">
        <v>2</v>
      </c>
      <c r="W464" s="6">
        <v>6</v>
      </c>
      <c r="X464" s="4">
        <v>8</v>
      </c>
      <c r="Y464" s="5">
        <v>0.4</v>
      </c>
      <c r="Z464" s="5">
        <v>0.8</v>
      </c>
      <c r="AA464" s="3" t="s">
        <v>88</v>
      </c>
      <c r="AB464" s="3">
        <v>0</v>
      </c>
      <c r="AC464" s="3" t="s">
        <v>113</v>
      </c>
      <c r="AD464" s="3">
        <v>0</v>
      </c>
      <c r="AE464" s="3" t="s">
        <v>98</v>
      </c>
      <c r="AF464" s="3">
        <v>0</v>
      </c>
      <c r="AG464" s="3" t="s">
        <v>82</v>
      </c>
      <c r="AH464" s="3">
        <v>1</v>
      </c>
      <c r="AI464" s="3">
        <v>1</v>
      </c>
      <c r="AJ464" s="3">
        <v>1</v>
      </c>
      <c r="AK464" s="3">
        <v>1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1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1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7"/>
      <c r="BX464" s="7" t="s">
        <v>1263</v>
      </c>
    </row>
    <row r="465" spans="1:76">
      <c r="A465" s="3" t="s">
        <v>1264</v>
      </c>
      <c r="B465" s="3">
        <v>5110</v>
      </c>
      <c r="C465" s="3" t="s">
        <v>1265</v>
      </c>
      <c r="D465" s="3">
        <v>1</v>
      </c>
      <c r="E465" s="4">
        <v>81</v>
      </c>
      <c r="F465" s="3" t="s">
        <v>78</v>
      </c>
      <c r="G465" s="3">
        <v>0</v>
      </c>
      <c r="H465" s="3">
        <v>0</v>
      </c>
      <c r="I465" s="4">
        <v>2</v>
      </c>
      <c r="J465" s="4">
        <v>7</v>
      </c>
      <c r="K465" s="4">
        <v>9</v>
      </c>
      <c r="L465" s="5">
        <f>IF(F465="F",65.79,IF(F465="M",79.94,""))</f>
        <v>79.94</v>
      </c>
      <c r="M465" s="3">
        <f t="shared" si="49"/>
        <v>0</v>
      </c>
      <c r="N465" s="3" t="str">
        <f t="shared" si="50"/>
        <v>VSC-non-halitosis</v>
      </c>
      <c r="O465" s="3" t="str">
        <f t="shared" si="51"/>
        <v>Clinical- / VSC-</v>
      </c>
      <c r="P465" s="5">
        <f t="shared" si="52"/>
        <v>2.1972245773362196</v>
      </c>
      <c r="Q465" s="5">
        <f t="shared" si="53"/>
        <v>1.0986122886681098</v>
      </c>
      <c r="R465" s="5">
        <f t="shared" si="53"/>
        <v>2.0794415416798357</v>
      </c>
      <c r="S465" s="5">
        <f t="shared" si="54"/>
        <v>0.77777777777777779</v>
      </c>
      <c r="T465" s="3">
        <f t="shared" si="55"/>
        <v>1</v>
      </c>
      <c r="U465" s="3" t="s">
        <v>79</v>
      </c>
      <c r="V465" s="3">
        <v>2</v>
      </c>
      <c r="W465" s="6">
        <v>6.2</v>
      </c>
      <c r="X465" s="4">
        <v>8</v>
      </c>
      <c r="Y465" s="5">
        <v>0.3</v>
      </c>
      <c r="Z465" s="5">
        <v>2.4</v>
      </c>
      <c r="AA465" s="3" t="s">
        <v>208</v>
      </c>
      <c r="AB465" s="3">
        <v>1</v>
      </c>
      <c r="AC465" s="3" t="s">
        <v>81</v>
      </c>
      <c r="AD465" s="3">
        <v>0</v>
      </c>
      <c r="AE465" s="3" t="s">
        <v>103</v>
      </c>
      <c r="AF465" s="3">
        <v>1</v>
      </c>
      <c r="AG465" s="3" t="s">
        <v>103</v>
      </c>
      <c r="AH465" s="3">
        <v>1</v>
      </c>
      <c r="AI465" s="3">
        <v>1</v>
      </c>
      <c r="AJ465" s="3">
        <v>1</v>
      </c>
      <c r="AK465" s="3">
        <v>1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1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1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7"/>
      <c r="BX465" s="7" t="s">
        <v>1266</v>
      </c>
    </row>
    <row r="466" spans="1:76">
      <c r="A466" s="3" t="s">
        <v>1267</v>
      </c>
      <c r="B466" s="3">
        <v>5111</v>
      </c>
      <c r="C466" s="3" t="s">
        <v>1268</v>
      </c>
      <c r="D466" s="3">
        <v>1</v>
      </c>
      <c r="E466" s="4">
        <v>24</v>
      </c>
      <c r="F466" s="3" t="s">
        <v>87</v>
      </c>
      <c r="G466" s="3">
        <v>0</v>
      </c>
      <c r="H466" s="3">
        <v>0</v>
      </c>
      <c r="I466" s="4">
        <v>52</v>
      </c>
      <c r="J466" s="4">
        <v>5</v>
      </c>
      <c r="K466" s="4">
        <v>57</v>
      </c>
      <c r="L466" s="5">
        <f>IF(F466="F",65.79,IF(F466="M",79.94,""))</f>
        <v>65.790000000000006</v>
      </c>
      <c r="M466" s="3">
        <f t="shared" si="49"/>
        <v>0</v>
      </c>
      <c r="N466" s="3" t="str">
        <f t="shared" si="50"/>
        <v>VSC-non-halitosis</v>
      </c>
      <c r="O466" s="3" t="str">
        <f t="shared" si="51"/>
        <v>Clinical- / VSC-</v>
      </c>
      <c r="P466" s="5">
        <f t="shared" si="52"/>
        <v>4.0430512678345503</v>
      </c>
      <c r="Q466" s="5">
        <f t="shared" si="53"/>
        <v>3.970291913552122</v>
      </c>
      <c r="R466" s="5">
        <f t="shared" si="53"/>
        <v>1.791759469228055</v>
      </c>
      <c r="S466" s="5">
        <f t="shared" si="54"/>
        <v>8.771929824561403E-2</v>
      </c>
      <c r="T466" s="3">
        <f t="shared" si="55"/>
        <v>0</v>
      </c>
      <c r="U466" s="3" t="s">
        <v>96</v>
      </c>
      <c r="V466" s="3">
        <v>3</v>
      </c>
      <c r="W466" s="6">
        <v>7</v>
      </c>
      <c r="X466" s="4">
        <v>11</v>
      </c>
      <c r="Y466" s="5">
        <v>0.6</v>
      </c>
      <c r="Z466" s="5">
        <v>1.8</v>
      </c>
      <c r="AA466" s="3" t="s">
        <v>88</v>
      </c>
      <c r="AB466" s="3">
        <v>0</v>
      </c>
      <c r="AC466" s="3" t="s">
        <v>113</v>
      </c>
      <c r="AD466" s="3">
        <v>0</v>
      </c>
      <c r="AE466" s="3" t="s">
        <v>98</v>
      </c>
      <c r="AF466" s="3">
        <v>0</v>
      </c>
      <c r="AG466" s="3" t="s">
        <v>82</v>
      </c>
      <c r="AH466" s="3">
        <v>1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7"/>
      <c r="BX466" s="7"/>
    </row>
    <row r="467" spans="1:76">
      <c r="A467" s="3" t="s">
        <v>1269</v>
      </c>
      <c r="B467" s="3">
        <v>5134</v>
      </c>
      <c r="C467" s="3" t="s">
        <v>1270</v>
      </c>
      <c r="D467" s="3">
        <v>1</v>
      </c>
      <c r="E467" s="4">
        <v>50</v>
      </c>
      <c r="F467" s="3" t="s">
        <v>87</v>
      </c>
      <c r="G467" s="3">
        <v>0</v>
      </c>
      <c r="H467" s="3">
        <v>0</v>
      </c>
      <c r="I467" s="4">
        <v>6</v>
      </c>
      <c r="J467" s="4">
        <v>2</v>
      </c>
      <c r="K467" s="4">
        <v>8</v>
      </c>
      <c r="L467" s="5">
        <f>IF(F467="F",65.79,IF(F467="M",79.94,""))</f>
        <v>65.790000000000006</v>
      </c>
      <c r="M467" s="3">
        <f t="shared" si="49"/>
        <v>0</v>
      </c>
      <c r="N467" s="3" t="str">
        <f t="shared" si="50"/>
        <v>VSC-non-halitosis</v>
      </c>
      <c r="O467" s="3" t="str">
        <f t="shared" si="51"/>
        <v>Clinical- / VSC-</v>
      </c>
      <c r="P467" s="5">
        <f t="shared" si="52"/>
        <v>2.0794415416798357</v>
      </c>
      <c r="Q467" s="5">
        <f t="shared" si="53"/>
        <v>1.9459101490553132</v>
      </c>
      <c r="R467" s="5">
        <f t="shared" si="53"/>
        <v>1.0986122886681098</v>
      </c>
      <c r="S467" s="5">
        <f t="shared" si="54"/>
        <v>0.25</v>
      </c>
      <c r="T467" s="3">
        <f t="shared" si="55"/>
        <v>0</v>
      </c>
      <c r="U467" s="3" t="s">
        <v>79</v>
      </c>
      <c r="V467" s="3">
        <v>2</v>
      </c>
      <c r="W467" s="6">
        <v>6.4</v>
      </c>
      <c r="X467" s="4">
        <v>9</v>
      </c>
      <c r="Y467" s="5">
        <v>0.5</v>
      </c>
      <c r="Z467" s="5">
        <v>1.6</v>
      </c>
      <c r="AA467" s="3" t="s">
        <v>88</v>
      </c>
      <c r="AB467" s="3">
        <v>0</v>
      </c>
      <c r="AC467" s="3" t="s">
        <v>81</v>
      </c>
      <c r="AD467" s="3">
        <v>0</v>
      </c>
      <c r="AE467" s="3" t="s">
        <v>82</v>
      </c>
      <c r="AF467" s="3">
        <v>1</v>
      </c>
      <c r="AG467" s="3" t="s">
        <v>103</v>
      </c>
      <c r="AH467" s="3">
        <v>1</v>
      </c>
      <c r="AI467" s="3">
        <v>0</v>
      </c>
      <c r="AJ467" s="3">
        <v>1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1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7"/>
      <c r="BX467" s="7" t="s">
        <v>1271</v>
      </c>
    </row>
    <row r="468" spans="1:76">
      <c r="A468" s="3" t="s">
        <v>1272</v>
      </c>
      <c r="B468" s="3">
        <v>5164</v>
      </c>
      <c r="C468" s="3" t="s">
        <v>1273</v>
      </c>
      <c r="D468" s="3">
        <v>1</v>
      </c>
      <c r="E468" s="4">
        <v>52</v>
      </c>
      <c r="F468" s="3" t="s">
        <v>87</v>
      </c>
      <c r="G468" s="3">
        <v>0</v>
      </c>
      <c r="H468" s="3">
        <v>0</v>
      </c>
      <c r="I468" s="4">
        <v>0</v>
      </c>
      <c r="J468" s="4">
        <v>1</v>
      </c>
      <c r="K468" s="4">
        <v>1</v>
      </c>
      <c r="L468" s="5">
        <f>IF(F468="F",65.79,IF(F468="M",79.94,""))</f>
        <v>65.790000000000006</v>
      </c>
      <c r="M468" s="3">
        <f t="shared" si="49"/>
        <v>0</v>
      </c>
      <c r="N468" s="3" t="str">
        <f t="shared" si="50"/>
        <v>VSC-non-halitosis</v>
      </c>
      <c r="O468" s="3" t="str">
        <f t="shared" si="51"/>
        <v>Clinical- / VSC-</v>
      </c>
      <c r="P468" s="5">
        <f t="shared" si="52"/>
        <v>0</v>
      </c>
      <c r="Q468" s="5">
        <f t="shared" si="53"/>
        <v>0</v>
      </c>
      <c r="R468" s="5">
        <f t="shared" si="53"/>
        <v>0.69314718055994529</v>
      </c>
      <c r="S468" s="5">
        <f t="shared" si="54"/>
        <v>1</v>
      </c>
      <c r="T468" s="3">
        <f t="shared" si="55"/>
        <v>1</v>
      </c>
      <c r="U468" s="3" t="s">
        <v>102</v>
      </c>
      <c r="V468" s="3">
        <v>1</v>
      </c>
      <c r="W468" s="6">
        <v>6.4</v>
      </c>
      <c r="X468" s="4">
        <v>9</v>
      </c>
      <c r="Y468" s="5">
        <v>0.9</v>
      </c>
      <c r="Z468" s="5">
        <v>1.6</v>
      </c>
      <c r="AA468" s="3" t="s">
        <v>108</v>
      </c>
      <c r="AB468" s="3">
        <v>1</v>
      </c>
      <c r="AC468" s="3" t="s">
        <v>81</v>
      </c>
      <c r="AD468" s="3">
        <v>0</v>
      </c>
      <c r="AE468" s="3" t="s">
        <v>82</v>
      </c>
      <c r="AF468" s="3">
        <v>1</v>
      </c>
      <c r="AG468" s="3" t="s">
        <v>98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7" t="s">
        <v>119</v>
      </c>
      <c r="BX468" s="7" t="s">
        <v>119</v>
      </c>
    </row>
    <row r="469" spans="1:76">
      <c r="A469" s="3" t="s">
        <v>1274</v>
      </c>
      <c r="B469" s="3">
        <v>5165</v>
      </c>
      <c r="C469" s="3" t="s">
        <v>1275</v>
      </c>
      <c r="D469" s="3">
        <v>3</v>
      </c>
      <c r="E469" s="4">
        <v>44</v>
      </c>
      <c r="F469" s="3" t="s">
        <v>87</v>
      </c>
      <c r="G469" s="3">
        <v>1</v>
      </c>
      <c r="H469" s="3">
        <v>0</v>
      </c>
      <c r="I469" s="4">
        <v>31</v>
      </c>
      <c r="J469" s="4">
        <v>4</v>
      </c>
      <c r="K469" s="4">
        <v>35</v>
      </c>
      <c r="L469" s="5">
        <f>IF(F469="F",65.79,IF(F469="M",79.94,""))</f>
        <v>65.790000000000006</v>
      </c>
      <c r="M469" s="3">
        <f t="shared" si="49"/>
        <v>0</v>
      </c>
      <c r="N469" s="3" t="str">
        <f t="shared" si="50"/>
        <v>VSC-non-halitosis</v>
      </c>
      <c r="O469" s="3" t="str">
        <f t="shared" si="51"/>
        <v>Clinical+ / VSC-</v>
      </c>
      <c r="P469" s="5">
        <f t="shared" si="52"/>
        <v>3.5553480614894135</v>
      </c>
      <c r="Q469" s="5">
        <f t="shared" si="53"/>
        <v>3.4657359027997265</v>
      </c>
      <c r="R469" s="5">
        <f t="shared" si="53"/>
        <v>1.6094379124341003</v>
      </c>
      <c r="S469" s="5">
        <f t="shared" si="54"/>
        <v>0.11428571428571428</v>
      </c>
      <c r="T469" s="3">
        <f t="shared" si="55"/>
        <v>0</v>
      </c>
      <c r="U469" s="3" t="s">
        <v>96</v>
      </c>
      <c r="V469" s="3">
        <v>3</v>
      </c>
      <c r="W469" s="6">
        <v>6.6</v>
      </c>
      <c r="X469" s="4">
        <v>8</v>
      </c>
      <c r="Y469" s="5">
        <v>0.25</v>
      </c>
      <c r="Z469" s="5">
        <v>0.6</v>
      </c>
      <c r="AA469" s="3" t="s">
        <v>88</v>
      </c>
      <c r="AB469" s="3">
        <v>0</v>
      </c>
      <c r="AC469" s="3" t="s">
        <v>113</v>
      </c>
      <c r="AD469" s="3">
        <v>0</v>
      </c>
      <c r="AE469" s="3" t="s">
        <v>98</v>
      </c>
      <c r="AF469" s="3">
        <v>0</v>
      </c>
      <c r="AG469" s="3" t="s">
        <v>98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7" t="s">
        <v>1276</v>
      </c>
      <c r="BX469" s="7" t="s">
        <v>119</v>
      </c>
    </row>
    <row r="470" spans="1:76">
      <c r="A470" s="3" t="s">
        <v>1277</v>
      </c>
      <c r="B470" s="3">
        <v>5165</v>
      </c>
      <c r="C470" s="3" t="s">
        <v>1275</v>
      </c>
      <c r="D470" s="3">
        <v>3</v>
      </c>
      <c r="E470" s="4">
        <v>44</v>
      </c>
      <c r="F470" s="3" t="s">
        <v>87</v>
      </c>
      <c r="G470" s="3">
        <v>1</v>
      </c>
      <c r="H470" s="3">
        <v>0</v>
      </c>
      <c r="I470" s="4">
        <v>5</v>
      </c>
      <c r="J470" s="4">
        <v>1</v>
      </c>
      <c r="K470" s="4">
        <v>6</v>
      </c>
      <c r="L470" s="5">
        <f>IF(F470="F",65.79,IF(F470="M",79.94,""))</f>
        <v>65.790000000000006</v>
      </c>
      <c r="M470" s="3">
        <f t="shared" si="49"/>
        <v>0</v>
      </c>
      <c r="N470" s="3" t="str">
        <f t="shared" si="50"/>
        <v>VSC-non-halitosis</v>
      </c>
      <c r="O470" s="3" t="str">
        <f t="shared" si="51"/>
        <v>Clinical+ / VSC-</v>
      </c>
      <c r="P470" s="5">
        <f t="shared" si="52"/>
        <v>1.791759469228055</v>
      </c>
      <c r="Q470" s="5">
        <f t="shared" si="53"/>
        <v>1.791759469228055</v>
      </c>
      <c r="R470" s="5">
        <f t="shared" si="53"/>
        <v>0.69314718055994529</v>
      </c>
      <c r="S470" s="5">
        <f t="shared" si="54"/>
        <v>0.16666666666666666</v>
      </c>
      <c r="T470" s="3">
        <f t="shared" si="55"/>
        <v>0</v>
      </c>
      <c r="U470" s="3" t="s">
        <v>79</v>
      </c>
      <c r="V470" s="3">
        <v>2</v>
      </c>
      <c r="W470" s="6">
        <v>6.6</v>
      </c>
      <c r="X470" s="4">
        <v>8</v>
      </c>
      <c r="Y470" s="5">
        <v>0.25</v>
      </c>
      <c r="Z470" s="5">
        <v>0.6</v>
      </c>
      <c r="AA470" s="3" t="s">
        <v>88</v>
      </c>
      <c r="AB470" s="3">
        <v>0</v>
      </c>
      <c r="AC470" s="3" t="s">
        <v>113</v>
      </c>
      <c r="AD470" s="3">
        <v>0</v>
      </c>
      <c r="AE470" s="3" t="s">
        <v>98</v>
      </c>
      <c r="AF470" s="3">
        <v>0</v>
      </c>
      <c r="AG470" s="3" t="s">
        <v>98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7" t="s">
        <v>1276</v>
      </c>
      <c r="BX470" s="7" t="s">
        <v>119</v>
      </c>
    </row>
    <row r="471" spans="1:76">
      <c r="A471" s="3" t="s">
        <v>1278</v>
      </c>
      <c r="B471" s="3">
        <v>5165</v>
      </c>
      <c r="C471" s="3" t="s">
        <v>1275</v>
      </c>
      <c r="D471" s="3">
        <v>3</v>
      </c>
      <c r="E471" s="4">
        <v>44</v>
      </c>
      <c r="F471" s="3" t="s">
        <v>87</v>
      </c>
      <c r="G471" s="3">
        <v>1</v>
      </c>
      <c r="H471" s="3">
        <v>0</v>
      </c>
      <c r="I471" s="4">
        <v>2</v>
      </c>
      <c r="J471" s="4">
        <v>0</v>
      </c>
      <c r="K471" s="4">
        <v>2</v>
      </c>
      <c r="L471" s="5">
        <f>IF(F471="F",65.79,IF(F471="M",79.94,""))</f>
        <v>65.790000000000006</v>
      </c>
      <c r="M471" s="3">
        <f t="shared" si="49"/>
        <v>0</v>
      </c>
      <c r="N471" s="3" t="str">
        <f t="shared" si="50"/>
        <v>VSC-non-halitosis</v>
      </c>
      <c r="O471" s="3" t="str">
        <f t="shared" si="51"/>
        <v>Clinical+ / VSC-</v>
      </c>
      <c r="P471" s="5">
        <f t="shared" si="52"/>
        <v>0.69314718055994529</v>
      </c>
      <c r="Q471" s="5">
        <f t="shared" si="53"/>
        <v>1.0986122886681098</v>
      </c>
      <c r="R471" s="5">
        <f t="shared" si="53"/>
        <v>0</v>
      </c>
      <c r="S471" s="5">
        <f t="shared" si="54"/>
        <v>0</v>
      </c>
      <c r="T471" s="3">
        <f t="shared" si="55"/>
        <v>0</v>
      </c>
      <c r="U471" s="3" t="s">
        <v>102</v>
      </c>
      <c r="V471" s="3">
        <v>1</v>
      </c>
      <c r="W471" s="6">
        <v>6.6</v>
      </c>
      <c r="X471" s="4">
        <v>8</v>
      </c>
      <c r="Y471" s="5">
        <v>0.25</v>
      </c>
      <c r="Z471" s="5">
        <v>0.6</v>
      </c>
      <c r="AA471" s="3" t="s">
        <v>88</v>
      </c>
      <c r="AB471" s="3">
        <v>0</v>
      </c>
      <c r="AC471" s="3" t="s">
        <v>113</v>
      </c>
      <c r="AD471" s="3">
        <v>0</v>
      </c>
      <c r="AE471" s="3" t="s">
        <v>98</v>
      </c>
      <c r="AF471" s="3">
        <v>0</v>
      </c>
      <c r="AG471" s="3" t="s">
        <v>98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7" t="s">
        <v>1276</v>
      </c>
      <c r="BX471" s="7" t="s">
        <v>119</v>
      </c>
    </row>
    <row r="472" spans="1:76" ht="34">
      <c r="A472" s="3" t="s">
        <v>1279</v>
      </c>
      <c r="B472" s="3">
        <v>5196</v>
      </c>
      <c r="C472" s="3" t="s">
        <v>1280</v>
      </c>
      <c r="D472" s="3">
        <v>1</v>
      </c>
      <c r="E472" s="4">
        <v>30</v>
      </c>
      <c r="F472" s="3" t="s">
        <v>87</v>
      </c>
      <c r="G472" s="3">
        <v>1</v>
      </c>
      <c r="H472" s="3">
        <v>0</v>
      </c>
      <c r="I472" s="4">
        <v>2</v>
      </c>
      <c r="J472" s="4">
        <v>0</v>
      </c>
      <c r="K472" s="4">
        <v>2</v>
      </c>
      <c r="L472" s="5">
        <f>IF(F472="F",65.79,IF(F472="M",79.94,""))</f>
        <v>65.790000000000006</v>
      </c>
      <c r="M472" s="3">
        <f t="shared" si="49"/>
        <v>0</v>
      </c>
      <c r="N472" s="3" t="str">
        <f t="shared" si="50"/>
        <v>VSC-non-halitosis</v>
      </c>
      <c r="O472" s="3" t="str">
        <f t="shared" si="51"/>
        <v>Clinical+ / VSC-</v>
      </c>
      <c r="P472" s="5">
        <f t="shared" si="52"/>
        <v>0.69314718055994529</v>
      </c>
      <c r="Q472" s="5">
        <f t="shared" si="53"/>
        <v>1.0986122886681098</v>
      </c>
      <c r="R472" s="5">
        <f t="shared" si="53"/>
        <v>0</v>
      </c>
      <c r="S472" s="5">
        <f t="shared" si="54"/>
        <v>0</v>
      </c>
      <c r="T472" s="3">
        <f t="shared" si="55"/>
        <v>0</v>
      </c>
      <c r="U472" s="3" t="s">
        <v>102</v>
      </c>
      <c r="V472" s="3">
        <v>1</v>
      </c>
      <c r="W472" s="6">
        <v>7</v>
      </c>
      <c r="X472" s="4">
        <v>9</v>
      </c>
      <c r="Y472" s="5">
        <v>0.8</v>
      </c>
      <c r="Z472" s="5">
        <v>2</v>
      </c>
      <c r="AA472" s="3" t="s">
        <v>208</v>
      </c>
      <c r="AB472" s="3">
        <v>1</v>
      </c>
      <c r="AC472" s="3" t="s">
        <v>81</v>
      </c>
      <c r="AD472" s="3">
        <v>0</v>
      </c>
      <c r="AE472" s="3" t="s">
        <v>82</v>
      </c>
      <c r="AF472" s="3">
        <v>1</v>
      </c>
      <c r="AG472" s="3" t="s">
        <v>98</v>
      </c>
      <c r="AH472" s="3">
        <v>0</v>
      </c>
      <c r="AI472" s="3">
        <v>3</v>
      </c>
      <c r="AJ472" s="3">
        <v>3</v>
      </c>
      <c r="AK472" s="3">
        <v>0</v>
      </c>
      <c r="AL472" s="3">
        <v>0</v>
      </c>
      <c r="AM472" s="3">
        <v>1</v>
      </c>
      <c r="AN472" s="3">
        <v>1</v>
      </c>
      <c r="AO472" s="3">
        <v>1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1</v>
      </c>
      <c r="BG472" s="3">
        <v>0</v>
      </c>
      <c r="BH472" s="3">
        <v>0</v>
      </c>
      <c r="BI472" s="3">
        <v>0</v>
      </c>
      <c r="BJ472" s="3">
        <v>0</v>
      </c>
      <c r="BK472" s="3">
        <v>1</v>
      </c>
      <c r="BL472" s="3">
        <v>0</v>
      </c>
      <c r="BM472" s="3">
        <v>0</v>
      </c>
      <c r="BN472" s="3">
        <v>0</v>
      </c>
      <c r="BO472" s="3">
        <v>1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7" t="s">
        <v>219</v>
      </c>
      <c r="BX472" s="7" t="s">
        <v>1281</v>
      </c>
    </row>
    <row r="473" spans="1:76">
      <c r="A473" s="3" t="s">
        <v>1282</v>
      </c>
      <c r="B473" s="3">
        <v>5241</v>
      </c>
      <c r="C473" s="3" t="s">
        <v>1283</v>
      </c>
      <c r="D473" s="3">
        <v>1</v>
      </c>
      <c r="E473" s="4">
        <v>37</v>
      </c>
      <c r="F473" s="3" t="s">
        <v>87</v>
      </c>
      <c r="G473" s="3">
        <v>0</v>
      </c>
      <c r="H473" s="3">
        <v>0</v>
      </c>
      <c r="I473" s="4">
        <v>103</v>
      </c>
      <c r="J473" s="4">
        <v>9</v>
      </c>
      <c r="K473" s="4">
        <v>112</v>
      </c>
      <c r="L473" s="5">
        <f>IF(F473="F",65.79,IF(F473="M",79.94,""))</f>
        <v>65.790000000000006</v>
      </c>
      <c r="M473" s="3">
        <f t="shared" si="49"/>
        <v>1</v>
      </c>
      <c r="N473" s="3" t="str">
        <f t="shared" si="50"/>
        <v>VSC-halitosis</v>
      </c>
      <c r="O473" s="3" t="str">
        <f t="shared" si="51"/>
        <v>Clinical- / VSC+</v>
      </c>
      <c r="P473" s="5">
        <f t="shared" si="52"/>
        <v>4.7184988712950942</v>
      </c>
      <c r="Q473" s="5">
        <f t="shared" si="53"/>
        <v>4.6443908991413725</v>
      </c>
      <c r="R473" s="5">
        <f t="shared" si="53"/>
        <v>2.3025850929940459</v>
      </c>
      <c r="S473" s="5">
        <f t="shared" si="54"/>
        <v>8.0357142857142863E-2</v>
      </c>
      <c r="T473" s="3">
        <f t="shared" si="55"/>
        <v>0</v>
      </c>
      <c r="U473" s="3" t="s">
        <v>96</v>
      </c>
      <c r="V473" s="3">
        <v>3</v>
      </c>
      <c r="W473" s="6">
        <v>7.2</v>
      </c>
      <c r="X473" s="4">
        <v>9</v>
      </c>
      <c r="Y473" s="5">
        <v>0.5</v>
      </c>
      <c r="Z473" s="5">
        <v>1.6</v>
      </c>
      <c r="AA473" s="3" t="s">
        <v>88</v>
      </c>
      <c r="AB473" s="3">
        <v>0</v>
      </c>
      <c r="AC473" s="3" t="s">
        <v>138</v>
      </c>
      <c r="AD473" s="3">
        <v>1</v>
      </c>
      <c r="AE473" s="3" t="s">
        <v>82</v>
      </c>
      <c r="AF473" s="3">
        <v>1</v>
      </c>
      <c r="AG473" s="3" t="s">
        <v>82</v>
      </c>
      <c r="AH473" s="3">
        <v>1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7" t="s">
        <v>119</v>
      </c>
      <c r="BX473" s="7" t="s">
        <v>119</v>
      </c>
    </row>
    <row r="474" spans="1:76">
      <c r="A474" s="3" t="s">
        <v>1284</v>
      </c>
      <c r="B474" s="3">
        <v>5242</v>
      </c>
      <c r="C474" s="3" t="s">
        <v>1285</v>
      </c>
      <c r="D474" s="3">
        <v>2</v>
      </c>
      <c r="E474" s="4">
        <v>38</v>
      </c>
      <c r="F474" s="3" t="s">
        <v>87</v>
      </c>
      <c r="G474" s="3">
        <v>1</v>
      </c>
      <c r="H474" s="3">
        <v>0</v>
      </c>
      <c r="I474" s="4">
        <v>2</v>
      </c>
      <c r="J474" s="4">
        <v>0</v>
      </c>
      <c r="K474" s="4">
        <v>2</v>
      </c>
      <c r="L474" s="5">
        <f>IF(F474="F",65.79,IF(F474="M",79.94,""))</f>
        <v>65.790000000000006</v>
      </c>
      <c r="M474" s="3">
        <f t="shared" si="49"/>
        <v>0</v>
      </c>
      <c r="N474" s="3" t="str">
        <f t="shared" si="50"/>
        <v>VSC-non-halitosis</v>
      </c>
      <c r="O474" s="3" t="str">
        <f t="shared" si="51"/>
        <v>Clinical+ / VSC-</v>
      </c>
      <c r="P474" s="5">
        <f t="shared" si="52"/>
        <v>0.69314718055994529</v>
      </c>
      <c r="Q474" s="5">
        <f t="shared" si="53"/>
        <v>1.0986122886681098</v>
      </c>
      <c r="R474" s="5">
        <f t="shared" si="53"/>
        <v>0</v>
      </c>
      <c r="S474" s="5">
        <f t="shared" si="54"/>
        <v>0</v>
      </c>
      <c r="T474" s="3">
        <f t="shared" si="55"/>
        <v>0</v>
      </c>
      <c r="U474" s="3" t="s">
        <v>102</v>
      </c>
      <c r="V474" s="3">
        <v>1</v>
      </c>
      <c r="W474" s="6">
        <v>6.4</v>
      </c>
      <c r="X474" s="4">
        <v>8</v>
      </c>
      <c r="Y474" s="5">
        <v>0.5</v>
      </c>
      <c r="Z474" s="5">
        <v>1</v>
      </c>
      <c r="AA474" s="3" t="s">
        <v>208</v>
      </c>
      <c r="AB474" s="3">
        <v>1</v>
      </c>
      <c r="AC474" s="3" t="s">
        <v>138</v>
      </c>
      <c r="AD474" s="3">
        <v>1</v>
      </c>
      <c r="AE474" s="3" t="s">
        <v>98</v>
      </c>
      <c r="AF474" s="3">
        <v>0</v>
      </c>
      <c r="AG474" s="3" t="s">
        <v>103</v>
      </c>
      <c r="AH474" s="3">
        <v>1</v>
      </c>
      <c r="AI474" s="3">
        <v>2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1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1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7" t="s">
        <v>1286</v>
      </c>
      <c r="BX474" s="7" t="s">
        <v>1287</v>
      </c>
    </row>
    <row r="475" spans="1:76">
      <c r="A475" s="3" t="s">
        <v>1288</v>
      </c>
      <c r="B475" s="3">
        <v>5242</v>
      </c>
      <c r="C475" s="3" t="s">
        <v>1285</v>
      </c>
      <c r="D475" s="3">
        <v>2</v>
      </c>
      <c r="E475" s="4">
        <v>39</v>
      </c>
      <c r="F475" s="3" t="s">
        <v>87</v>
      </c>
      <c r="G475" s="3">
        <v>1</v>
      </c>
      <c r="H475" s="3">
        <v>0</v>
      </c>
      <c r="I475" s="4">
        <v>6</v>
      </c>
      <c r="J475" s="4">
        <v>0</v>
      </c>
      <c r="K475" s="4">
        <v>6</v>
      </c>
      <c r="L475" s="5">
        <f>IF(F475="F",65.79,IF(F475="M",79.94,""))</f>
        <v>65.790000000000006</v>
      </c>
      <c r="M475" s="3">
        <f t="shared" si="49"/>
        <v>0</v>
      </c>
      <c r="N475" s="3" t="str">
        <f t="shared" si="50"/>
        <v>VSC-non-halitosis</v>
      </c>
      <c r="O475" s="3" t="str">
        <f t="shared" si="51"/>
        <v>Clinical+ / VSC-</v>
      </c>
      <c r="P475" s="5">
        <f t="shared" si="52"/>
        <v>1.791759469228055</v>
      </c>
      <c r="Q475" s="5">
        <f t="shared" si="53"/>
        <v>1.9459101490553132</v>
      </c>
      <c r="R475" s="5">
        <f t="shared" si="53"/>
        <v>0</v>
      </c>
      <c r="S475" s="5">
        <f t="shared" si="54"/>
        <v>0</v>
      </c>
      <c r="T475" s="3">
        <f t="shared" si="55"/>
        <v>0</v>
      </c>
      <c r="U475" s="3" t="s">
        <v>79</v>
      </c>
      <c r="V475" s="3">
        <v>2</v>
      </c>
      <c r="W475" s="6">
        <v>6.4</v>
      </c>
      <c r="X475" s="4">
        <v>8</v>
      </c>
      <c r="Y475" s="5">
        <v>0.5</v>
      </c>
      <c r="Z475" s="5">
        <v>1</v>
      </c>
      <c r="AA475" s="3" t="s">
        <v>208</v>
      </c>
      <c r="AB475" s="3">
        <v>1</v>
      </c>
      <c r="AC475" s="3" t="s">
        <v>138</v>
      </c>
      <c r="AD475" s="3">
        <v>1</v>
      </c>
      <c r="AE475" s="3" t="s">
        <v>98</v>
      </c>
      <c r="AF475" s="3">
        <v>0</v>
      </c>
      <c r="AG475" s="3" t="s">
        <v>103</v>
      </c>
      <c r="AH475" s="3">
        <v>1</v>
      </c>
      <c r="AI475" s="3">
        <v>2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1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1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7" t="s">
        <v>1286</v>
      </c>
      <c r="BX475" s="7" t="s">
        <v>1287</v>
      </c>
    </row>
    <row r="476" spans="1:76" ht="34">
      <c r="A476" s="3" t="s">
        <v>1289</v>
      </c>
      <c r="B476" s="3">
        <v>5288</v>
      </c>
      <c r="C476" s="3" t="s">
        <v>1290</v>
      </c>
      <c r="D476" s="3">
        <v>1</v>
      </c>
      <c r="E476" s="4">
        <v>87</v>
      </c>
      <c r="F476" s="3" t="s">
        <v>87</v>
      </c>
      <c r="G476" s="3">
        <v>0</v>
      </c>
      <c r="H476" s="3">
        <v>0</v>
      </c>
      <c r="I476" s="4">
        <v>1</v>
      </c>
      <c r="J476" s="4">
        <v>4</v>
      </c>
      <c r="K476" s="4">
        <v>5</v>
      </c>
      <c r="L476" s="5">
        <f>IF(F476="F",65.79,IF(F476="M",79.94,""))</f>
        <v>65.790000000000006</v>
      </c>
      <c r="M476" s="3">
        <f t="shared" si="49"/>
        <v>0</v>
      </c>
      <c r="N476" s="3" t="str">
        <f t="shared" si="50"/>
        <v>VSC-non-halitosis</v>
      </c>
      <c r="O476" s="3" t="str">
        <f t="shared" si="51"/>
        <v>Clinical- / VSC-</v>
      </c>
      <c r="P476" s="5">
        <f t="shared" si="52"/>
        <v>1.6094379124341003</v>
      </c>
      <c r="Q476" s="5">
        <f t="shared" si="53"/>
        <v>0.69314718055994529</v>
      </c>
      <c r="R476" s="5">
        <f t="shared" si="53"/>
        <v>1.6094379124341003</v>
      </c>
      <c r="S476" s="5">
        <f t="shared" si="54"/>
        <v>0.8</v>
      </c>
      <c r="T476" s="3">
        <f t="shared" si="55"/>
        <v>1</v>
      </c>
      <c r="U476" s="3" t="s">
        <v>79</v>
      </c>
      <c r="V476" s="3">
        <v>2</v>
      </c>
      <c r="W476" s="6">
        <v>6.2</v>
      </c>
      <c r="X476" s="4">
        <v>9</v>
      </c>
      <c r="Y476" s="5">
        <v>0.3</v>
      </c>
      <c r="Z476" s="5">
        <v>0.8</v>
      </c>
      <c r="AA476" s="3" t="s">
        <v>88</v>
      </c>
      <c r="AB476" s="3">
        <v>0</v>
      </c>
      <c r="AC476" s="3" t="s">
        <v>81</v>
      </c>
      <c r="AD476" s="3">
        <v>0</v>
      </c>
      <c r="AE476" s="3" t="s">
        <v>98</v>
      </c>
      <c r="AF476" s="3">
        <v>0</v>
      </c>
      <c r="AG476" s="3" t="s">
        <v>98</v>
      </c>
      <c r="AH476" s="3">
        <v>0</v>
      </c>
      <c r="AI476" s="3">
        <v>2</v>
      </c>
      <c r="AJ476" s="3">
        <v>1</v>
      </c>
      <c r="AK476" s="3">
        <v>0</v>
      </c>
      <c r="AL476" s="3">
        <v>0</v>
      </c>
      <c r="AM476" s="3">
        <v>1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1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1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7" t="s">
        <v>1291</v>
      </c>
      <c r="BX476" s="7" t="s">
        <v>1292</v>
      </c>
    </row>
    <row r="477" spans="1:76" ht="34">
      <c r="A477" s="3" t="s">
        <v>1293</v>
      </c>
      <c r="B477" s="3">
        <v>5294</v>
      </c>
      <c r="C477" s="3" t="s">
        <v>1294</v>
      </c>
      <c r="D477" s="3">
        <v>1</v>
      </c>
      <c r="E477" s="4">
        <v>77</v>
      </c>
      <c r="F477" s="3" t="s">
        <v>87</v>
      </c>
      <c r="G477" s="3">
        <v>0</v>
      </c>
      <c r="H477" s="3">
        <v>0</v>
      </c>
      <c r="I477" s="4">
        <v>5</v>
      </c>
      <c r="J477" s="4">
        <v>12</v>
      </c>
      <c r="K477" s="4">
        <v>17</v>
      </c>
      <c r="L477" s="5">
        <f>IF(F477="F",65.79,IF(F477="M",79.94,""))</f>
        <v>65.790000000000006</v>
      </c>
      <c r="M477" s="3">
        <f t="shared" si="49"/>
        <v>0</v>
      </c>
      <c r="N477" s="3" t="str">
        <f t="shared" si="50"/>
        <v>VSC-non-halitosis</v>
      </c>
      <c r="O477" s="3" t="str">
        <f t="shared" si="51"/>
        <v>Clinical- / VSC-</v>
      </c>
      <c r="P477" s="5">
        <f t="shared" si="52"/>
        <v>2.8332133440562162</v>
      </c>
      <c r="Q477" s="5">
        <f t="shared" si="53"/>
        <v>1.791759469228055</v>
      </c>
      <c r="R477" s="5">
        <f t="shared" si="53"/>
        <v>2.5649493574615367</v>
      </c>
      <c r="S477" s="5">
        <f t="shared" si="54"/>
        <v>0.70588235294117652</v>
      </c>
      <c r="T477" s="3">
        <f t="shared" si="55"/>
        <v>1</v>
      </c>
      <c r="U477" s="3" t="s">
        <v>79</v>
      </c>
      <c r="V477" s="3">
        <v>2</v>
      </c>
      <c r="W477" s="6">
        <v>7</v>
      </c>
      <c r="X477" s="4">
        <v>6</v>
      </c>
      <c r="Y477" s="5">
        <v>0.25</v>
      </c>
      <c r="Z477" s="5">
        <v>1</v>
      </c>
      <c r="AA477" s="3" t="s">
        <v>208</v>
      </c>
      <c r="AB477" s="3">
        <v>1</v>
      </c>
      <c r="AC477" s="3" t="s">
        <v>81</v>
      </c>
      <c r="AD477" s="3">
        <v>0</v>
      </c>
      <c r="AE477" s="3" t="s">
        <v>82</v>
      </c>
      <c r="AF477" s="3">
        <v>1</v>
      </c>
      <c r="AG477" s="3" t="s">
        <v>82</v>
      </c>
      <c r="AH477" s="3">
        <v>1</v>
      </c>
      <c r="AI477" s="3">
        <v>3</v>
      </c>
      <c r="AJ477" s="3">
        <v>2</v>
      </c>
      <c r="AK477" s="3">
        <v>0</v>
      </c>
      <c r="AL477" s="3">
        <v>0</v>
      </c>
      <c r="AM477" s="3">
        <v>0</v>
      </c>
      <c r="AN477" s="3">
        <v>0</v>
      </c>
      <c r="AO477" s="3">
        <v>1</v>
      </c>
      <c r="AP477" s="3">
        <v>0</v>
      </c>
      <c r="AQ477" s="3">
        <v>1</v>
      </c>
      <c r="AR477" s="3">
        <v>0</v>
      </c>
      <c r="AS477" s="3">
        <v>0</v>
      </c>
      <c r="AT477" s="3">
        <v>0</v>
      </c>
      <c r="AU477" s="3">
        <v>1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1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1</v>
      </c>
      <c r="BW477" s="7" t="s">
        <v>328</v>
      </c>
      <c r="BX477" s="7" t="s">
        <v>1295</v>
      </c>
    </row>
    <row r="478" spans="1:76">
      <c r="A478" s="3" t="s">
        <v>1296</v>
      </c>
      <c r="B478" s="3">
        <v>5299</v>
      </c>
      <c r="C478" s="3" t="s">
        <v>1297</v>
      </c>
      <c r="D478" s="3">
        <v>2</v>
      </c>
      <c r="E478" s="4">
        <v>50</v>
      </c>
      <c r="F478" s="3" t="s">
        <v>87</v>
      </c>
      <c r="G478" s="3">
        <v>1</v>
      </c>
      <c r="H478" s="3">
        <v>0</v>
      </c>
      <c r="I478" s="4">
        <v>1</v>
      </c>
      <c r="J478" s="4">
        <v>0</v>
      </c>
      <c r="K478" s="4">
        <v>1</v>
      </c>
      <c r="L478" s="5">
        <f>IF(F478="F",65.79,IF(F478="M",79.94,""))</f>
        <v>65.790000000000006</v>
      </c>
      <c r="M478" s="3">
        <f t="shared" si="49"/>
        <v>0</v>
      </c>
      <c r="N478" s="3" t="str">
        <f t="shared" si="50"/>
        <v>VSC-non-halitosis</v>
      </c>
      <c r="O478" s="3" t="str">
        <f t="shared" si="51"/>
        <v>Clinical+ / VSC-</v>
      </c>
      <c r="P478" s="5">
        <f t="shared" si="52"/>
        <v>0</v>
      </c>
      <c r="Q478" s="5">
        <f t="shared" si="53"/>
        <v>0.69314718055994529</v>
      </c>
      <c r="R478" s="5">
        <f t="shared" si="53"/>
        <v>0</v>
      </c>
      <c r="S478" s="5">
        <f t="shared" si="54"/>
        <v>0</v>
      </c>
      <c r="T478" s="3">
        <f t="shared" si="55"/>
        <v>0</v>
      </c>
      <c r="U478" s="3" t="s">
        <v>102</v>
      </c>
      <c r="V478" s="3">
        <v>1</v>
      </c>
      <c r="W478" s="6">
        <v>6.4</v>
      </c>
      <c r="X478" s="4">
        <v>12</v>
      </c>
      <c r="Y478" s="5">
        <v>0.45</v>
      </c>
      <c r="Z478" s="5">
        <v>1.6</v>
      </c>
      <c r="AA478" s="3" t="s">
        <v>88</v>
      </c>
      <c r="AB478" s="3">
        <v>0</v>
      </c>
      <c r="AC478" s="3" t="s">
        <v>113</v>
      </c>
      <c r="AD478" s="3">
        <v>0</v>
      </c>
      <c r="AE478" s="3" t="s">
        <v>82</v>
      </c>
      <c r="AF478" s="3">
        <v>1</v>
      </c>
      <c r="AG478" s="3" t="s">
        <v>82</v>
      </c>
      <c r="AH478" s="3">
        <v>1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7" t="s">
        <v>1298</v>
      </c>
      <c r="BX478" s="7"/>
    </row>
    <row r="479" spans="1:76">
      <c r="A479" s="3" t="s">
        <v>1299</v>
      </c>
      <c r="B479" s="3">
        <v>5299</v>
      </c>
      <c r="C479" s="3" t="s">
        <v>1297</v>
      </c>
      <c r="D479" s="3">
        <v>2</v>
      </c>
      <c r="E479" s="4">
        <v>50</v>
      </c>
      <c r="F479" s="3" t="s">
        <v>87</v>
      </c>
      <c r="G479" s="3">
        <v>1</v>
      </c>
      <c r="H479" s="3">
        <v>0</v>
      </c>
      <c r="I479" s="4">
        <v>1</v>
      </c>
      <c r="J479" s="4">
        <v>0</v>
      </c>
      <c r="K479" s="4">
        <v>1</v>
      </c>
      <c r="L479" s="5">
        <f>IF(F479="F",65.79,IF(F479="M",79.94,""))</f>
        <v>65.790000000000006</v>
      </c>
      <c r="M479" s="3">
        <f t="shared" si="49"/>
        <v>0</v>
      </c>
      <c r="N479" s="3" t="str">
        <f t="shared" si="50"/>
        <v>VSC-non-halitosis</v>
      </c>
      <c r="O479" s="3" t="str">
        <f t="shared" si="51"/>
        <v>Clinical+ / VSC-</v>
      </c>
      <c r="P479" s="5">
        <f t="shared" si="52"/>
        <v>0</v>
      </c>
      <c r="Q479" s="5">
        <f t="shared" si="53"/>
        <v>0.69314718055994529</v>
      </c>
      <c r="R479" s="5">
        <f t="shared" si="53"/>
        <v>0</v>
      </c>
      <c r="S479" s="5">
        <f t="shared" si="54"/>
        <v>0</v>
      </c>
      <c r="T479" s="3">
        <f t="shared" si="55"/>
        <v>0</v>
      </c>
      <c r="U479" s="3" t="s">
        <v>102</v>
      </c>
      <c r="V479" s="3">
        <v>1</v>
      </c>
      <c r="W479" s="6">
        <v>6.4</v>
      </c>
      <c r="X479" s="4">
        <v>12</v>
      </c>
      <c r="Y479" s="5">
        <v>0.45</v>
      </c>
      <c r="Z479" s="5">
        <v>1.6</v>
      </c>
      <c r="AA479" s="3" t="s">
        <v>88</v>
      </c>
      <c r="AB479" s="3">
        <v>0</v>
      </c>
      <c r="AC479" s="3" t="s">
        <v>113</v>
      </c>
      <c r="AD479" s="3">
        <v>0</v>
      </c>
      <c r="AE479" s="3" t="s">
        <v>82</v>
      </c>
      <c r="AF479" s="3">
        <v>1</v>
      </c>
      <c r="AG479" s="3" t="s">
        <v>82</v>
      </c>
      <c r="AH479" s="3">
        <v>1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7" t="s">
        <v>1298</v>
      </c>
      <c r="BX479" s="7"/>
    </row>
    <row r="480" spans="1:76">
      <c r="A480" s="3" t="s">
        <v>1300</v>
      </c>
      <c r="B480" s="3">
        <v>5300</v>
      </c>
      <c r="C480" s="3" t="s">
        <v>1301</v>
      </c>
      <c r="D480" s="3">
        <v>1</v>
      </c>
      <c r="E480" s="4">
        <v>54</v>
      </c>
      <c r="F480" s="3" t="s">
        <v>87</v>
      </c>
      <c r="G480" s="3">
        <v>0</v>
      </c>
      <c r="H480" s="3">
        <v>0</v>
      </c>
      <c r="I480" s="4">
        <v>3</v>
      </c>
      <c r="J480" s="4">
        <v>0</v>
      </c>
      <c r="K480" s="4">
        <v>3</v>
      </c>
      <c r="L480" s="5">
        <f>IF(F480="F",65.79,IF(F480="M",79.94,""))</f>
        <v>65.790000000000006</v>
      </c>
      <c r="M480" s="3">
        <f t="shared" si="49"/>
        <v>0</v>
      </c>
      <c r="N480" s="3" t="str">
        <f t="shared" si="50"/>
        <v>VSC-non-halitosis</v>
      </c>
      <c r="O480" s="3" t="str">
        <f t="shared" si="51"/>
        <v>Clinical- / VSC-</v>
      </c>
      <c r="P480" s="5">
        <f t="shared" si="52"/>
        <v>1.0986122886681098</v>
      </c>
      <c r="Q480" s="5">
        <f t="shared" si="53"/>
        <v>1.3862943611198906</v>
      </c>
      <c r="R480" s="5">
        <f t="shared" si="53"/>
        <v>0</v>
      </c>
      <c r="S480" s="5">
        <f t="shared" si="54"/>
        <v>0</v>
      </c>
      <c r="T480" s="3">
        <f t="shared" si="55"/>
        <v>0</v>
      </c>
      <c r="U480" s="3" t="s">
        <v>102</v>
      </c>
      <c r="V480" s="3">
        <v>1</v>
      </c>
      <c r="W480" s="6">
        <v>6.2</v>
      </c>
      <c r="X480" s="4">
        <v>8</v>
      </c>
      <c r="Y480" s="5">
        <v>0.3</v>
      </c>
      <c r="Z480" s="5">
        <v>1.2</v>
      </c>
      <c r="AA480" s="3" t="s">
        <v>88</v>
      </c>
      <c r="AB480" s="3">
        <v>0</v>
      </c>
      <c r="AC480" s="3" t="s">
        <v>81</v>
      </c>
      <c r="AD480" s="3">
        <v>0</v>
      </c>
      <c r="AE480" s="3" t="s">
        <v>98</v>
      </c>
      <c r="AF480" s="3">
        <v>0</v>
      </c>
      <c r="AG480" s="3" t="s">
        <v>82</v>
      </c>
      <c r="AH480" s="3">
        <v>1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7" t="s">
        <v>119</v>
      </c>
      <c r="BX480" s="7" t="s">
        <v>119</v>
      </c>
    </row>
    <row r="481" spans="1:76">
      <c r="A481" s="3" t="s">
        <v>1302</v>
      </c>
      <c r="B481" s="3">
        <v>5310</v>
      </c>
      <c r="C481" s="3" t="s">
        <v>1303</v>
      </c>
      <c r="D481" s="3">
        <v>1</v>
      </c>
      <c r="E481" s="4">
        <v>50</v>
      </c>
      <c r="F481" s="3" t="s">
        <v>87</v>
      </c>
      <c r="G481" s="3">
        <v>0</v>
      </c>
      <c r="H481" s="3">
        <v>0</v>
      </c>
      <c r="I481" s="4">
        <v>49</v>
      </c>
      <c r="J481" s="4">
        <v>3</v>
      </c>
      <c r="K481" s="4">
        <v>52</v>
      </c>
      <c r="L481" s="5">
        <f>IF(F481="F",65.79,IF(F481="M",79.94,""))</f>
        <v>65.790000000000006</v>
      </c>
      <c r="M481" s="3">
        <f t="shared" si="49"/>
        <v>0</v>
      </c>
      <c r="N481" s="3" t="str">
        <f t="shared" si="50"/>
        <v>VSC-non-halitosis</v>
      </c>
      <c r="O481" s="3" t="str">
        <f t="shared" si="51"/>
        <v>Clinical- / VSC-</v>
      </c>
      <c r="P481" s="5">
        <f t="shared" si="52"/>
        <v>3.9512437185814275</v>
      </c>
      <c r="Q481" s="5">
        <f t="shared" si="53"/>
        <v>3.912023005428146</v>
      </c>
      <c r="R481" s="5">
        <f t="shared" si="53"/>
        <v>1.3862943611198906</v>
      </c>
      <c r="S481" s="5">
        <f t="shared" si="54"/>
        <v>5.7692307692307696E-2</v>
      </c>
      <c r="T481" s="3">
        <f t="shared" si="55"/>
        <v>0</v>
      </c>
      <c r="U481" s="3" t="s">
        <v>96</v>
      </c>
      <c r="V481" s="3">
        <v>3</v>
      </c>
      <c r="W481" s="6">
        <v>5</v>
      </c>
      <c r="X481" s="4">
        <v>4</v>
      </c>
      <c r="Y481" s="5">
        <v>0.05</v>
      </c>
      <c r="Z481" s="5">
        <v>0.5</v>
      </c>
      <c r="AA481" s="3" t="s">
        <v>88</v>
      </c>
      <c r="AB481" s="3">
        <v>0</v>
      </c>
      <c r="AC481" s="3" t="s">
        <v>138</v>
      </c>
      <c r="AD481" s="3">
        <v>1</v>
      </c>
      <c r="AE481" s="3" t="s">
        <v>82</v>
      </c>
      <c r="AF481" s="3">
        <v>1</v>
      </c>
      <c r="AG481" s="3" t="s">
        <v>103</v>
      </c>
      <c r="AH481" s="3">
        <v>1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7" t="s">
        <v>119</v>
      </c>
      <c r="BX481" s="7" t="s">
        <v>119</v>
      </c>
    </row>
    <row r="482" spans="1:76" ht="34">
      <c r="A482" s="3" t="s">
        <v>1304</v>
      </c>
      <c r="B482" s="3">
        <v>5321</v>
      </c>
      <c r="C482" s="3" t="s">
        <v>1305</v>
      </c>
      <c r="D482" s="3">
        <v>1</v>
      </c>
      <c r="E482" s="4">
        <v>62</v>
      </c>
      <c r="F482" s="3" t="s">
        <v>87</v>
      </c>
      <c r="G482" s="3">
        <v>0</v>
      </c>
      <c r="H482" s="3">
        <v>0</v>
      </c>
      <c r="I482" s="4">
        <v>0</v>
      </c>
      <c r="J482" s="4">
        <v>1</v>
      </c>
      <c r="K482" s="4">
        <v>1</v>
      </c>
      <c r="L482" s="5">
        <f>IF(F482="F",65.79,IF(F482="M",79.94,""))</f>
        <v>65.790000000000006</v>
      </c>
      <c r="M482" s="3">
        <f t="shared" si="49"/>
        <v>0</v>
      </c>
      <c r="N482" s="3" t="str">
        <f t="shared" si="50"/>
        <v>VSC-non-halitosis</v>
      </c>
      <c r="O482" s="3" t="str">
        <f t="shared" si="51"/>
        <v>Clinical- / VSC-</v>
      </c>
      <c r="P482" s="5">
        <f t="shared" si="52"/>
        <v>0</v>
      </c>
      <c r="Q482" s="5">
        <f t="shared" si="53"/>
        <v>0</v>
      </c>
      <c r="R482" s="5">
        <f t="shared" si="53"/>
        <v>0.69314718055994529</v>
      </c>
      <c r="S482" s="5">
        <f t="shared" si="54"/>
        <v>1</v>
      </c>
      <c r="T482" s="3">
        <f t="shared" si="55"/>
        <v>1</v>
      </c>
      <c r="U482" s="3" t="s">
        <v>102</v>
      </c>
      <c r="V482" s="3">
        <v>1</v>
      </c>
      <c r="W482" s="6">
        <v>7.6</v>
      </c>
      <c r="X482" s="4">
        <v>12</v>
      </c>
      <c r="Y482" s="5">
        <v>1</v>
      </c>
      <c r="Z482" s="5">
        <v>2.8</v>
      </c>
      <c r="AA482" s="3" t="s">
        <v>88</v>
      </c>
      <c r="AB482" s="3">
        <v>0</v>
      </c>
      <c r="AC482" s="3" t="s">
        <v>81</v>
      </c>
      <c r="AD482" s="3">
        <v>0</v>
      </c>
      <c r="AE482" s="3" t="s">
        <v>98</v>
      </c>
      <c r="AF482" s="3">
        <v>0</v>
      </c>
      <c r="AG482" s="3" t="s">
        <v>98</v>
      </c>
      <c r="AH482" s="3">
        <v>0</v>
      </c>
      <c r="AI482" s="3">
        <v>2</v>
      </c>
      <c r="AJ482" s="3">
        <v>1</v>
      </c>
      <c r="AK482" s="3">
        <v>0</v>
      </c>
      <c r="AL482" s="3">
        <v>1</v>
      </c>
      <c r="AM482" s="3">
        <v>0</v>
      </c>
      <c r="AN482" s="3">
        <v>0</v>
      </c>
      <c r="AO482" s="3">
        <v>0</v>
      </c>
      <c r="AP482" s="3">
        <v>0</v>
      </c>
      <c r="AQ482" s="3">
        <v>1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1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7" t="s">
        <v>1306</v>
      </c>
      <c r="BX482" s="7" t="s">
        <v>1307</v>
      </c>
    </row>
    <row r="483" spans="1:76">
      <c r="A483" s="3" t="s">
        <v>1308</v>
      </c>
      <c r="B483" s="3">
        <v>6267</v>
      </c>
      <c r="C483" s="3" t="s">
        <v>1309</v>
      </c>
      <c r="D483" s="3">
        <v>2</v>
      </c>
      <c r="E483" s="4">
        <v>53</v>
      </c>
      <c r="F483" s="3" t="s">
        <v>87</v>
      </c>
      <c r="G483" s="3">
        <v>1</v>
      </c>
      <c r="H483" s="3">
        <v>0</v>
      </c>
      <c r="I483" s="4">
        <v>2</v>
      </c>
      <c r="J483" s="4">
        <v>0</v>
      </c>
      <c r="K483" s="4">
        <v>2</v>
      </c>
      <c r="L483" s="5">
        <f>IF(F483="F",65.79,IF(F483="M",79.94,""))</f>
        <v>65.790000000000006</v>
      </c>
      <c r="M483" s="3">
        <f t="shared" si="49"/>
        <v>0</v>
      </c>
      <c r="N483" s="3" t="str">
        <f t="shared" si="50"/>
        <v>VSC-non-halitosis</v>
      </c>
      <c r="O483" s="3" t="str">
        <f t="shared" si="51"/>
        <v>Clinical+ / VSC-</v>
      </c>
      <c r="P483" s="5">
        <f t="shared" si="52"/>
        <v>0.69314718055994529</v>
      </c>
      <c r="Q483" s="5">
        <f t="shared" si="53"/>
        <v>1.0986122886681098</v>
      </c>
      <c r="R483" s="5">
        <f t="shared" si="53"/>
        <v>0</v>
      </c>
      <c r="S483" s="5">
        <f t="shared" si="54"/>
        <v>0</v>
      </c>
      <c r="T483" s="3">
        <f t="shared" si="55"/>
        <v>0</v>
      </c>
      <c r="U483" s="3" t="s">
        <v>102</v>
      </c>
      <c r="V483" s="3">
        <v>1</v>
      </c>
      <c r="W483" s="6">
        <v>6.4</v>
      </c>
      <c r="X483" s="4">
        <v>12</v>
      </c>
      <c r="Y483" s="5">
        <v>0.5</v>
      </c>
      <c r="Z483" s="5">
        <v>1.2</v>
      </c>
      <c r="AA483" s="3" t="s">
        <v>80</v>
      </c>
      <c r="AB483" s="3">
        <v>0</v>
      </c>
      <c r="AC483" s="3" t="s">
        <v>81</v>
      </c>
      <c r="AD483" s="3">
        <v>0</v>
      </c>
      <c r="AE483" s="3" t="s">
        <v>98</v>
      </c>
      <c r="AF483" s="3">
        <v>0</v>
      </c>
      <c r="AG483" s="3" t="s">
        <v>82</v>
      </c>
      <c r="AH483" s="3">
        <v>1</v>
      </c>
      <c r="AI483" s="3">
        <v>1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1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7" t="s">
        <v>890</v>
      </c>
      <c r="BX483" s="7" t="s">
        <v>119</v>
      </c>
    </row>
    <row r="484" spans="1:76">
      <c r="A484" s="3" t="s">
        <v>1310</v>
      </c>
      <c r="B484" s="3">
        <v>6267</v>
      </c>
      <c r="C484" s="3" t="s">
        <v>1309</v>
      </c>
      <c r="D484" s="3">
        <v>2</v>
      </c>
      <c r="E484" s="4">
        <v>53</v>
      </c>
      <c r="F484" s="3" t="s">
        <v>87</v>
      </c>
      <c r="G484" s="3">
        <v>1</v>
      </c>
      <c r="H484" s="3">
        <v>0</v>
      </c>
      <c r="I484" s="4">
        <v>1</v>
      </c>
      <c r="J484" s="4">
        <v>0</v>
      </c>
      <c r="K484" s="4">
        <v>1</v>
      </c>
      <c r="L484" s="5">
        <f>IF(F484="F",65.79,IF(F484="M",79.94,""))</f>
        <v>65.790000000000006</v>
      </c>
      <c r="M484" s="3">
        <f t="shared" si="49"/>
        <v>0</v>
      </c>
      <c r="N484" s="3" t="str">
        <f t="shared" si="50"/>
        <v>VSC-non-halitosis</v>
      </c>
      <c r="O484" s="3" t="str">
        <f t="shared" si="51"/>
        <v>Clinical+ / VSC-</v>
      </c>
      <c r="P484" s="5">
        <f t="shared" si="52"/>
        <v>0</v>
      </c>
      <c r="Q484" s="5">
        <f t="shared" si="53"/>
        <v>0.69314718055994529</v>
      </c>
      <c r="R484" s="5">
        <f t="shared" si="53"/>
        <v>0</v>
      </c>
      <c r="S484" s="5">
        <f t="shared" si="54"/>
        <v>0</v>
      </c>
      <c r="T484" s="3">
        <f t="shared" si="55"/>
        <v>0</v>
      </c>
      <c r="U484" s="3" t="s">
        <v>102</v>
      </c>
      <c r="V484" s="3">
        <v>1</v>
      </c>
      <c r="W484" s="6">
        <v>6.4</v>
      </c>
      <c r="X484" s="4">
        <v>12</v>
      </c>
      <c r="Y484" s="5">
        <v>0.5</v>
      </c>
      <c r="Z484" s="5">
        <v>1.2</v>
      </c>
      <c r="AA484" s="3" t="s">
        <v>80</v>
      </c>
      <c r="AB484" s="3">
        <v>0</v>
      </c>
      <c r="AC484" s="3" t="s">
        <v>81</v>
      </c>
      <c r="AD484" s="3">
        <v>0</v>
      </c>
      <c r="AE484" s="3" t="s">
        <v>98</v>
      </c>
      <c r="AF484" s="3">
        <v>0</v>
      </c>
      <c r="AG484" s="3" t="s">
        <v>82</v>
      </c>
      <c r="AH484" s="3">
        <v>1</v>
      </c>
      <c r="AI484" s="3">
        <v>1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1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7" t="s">
        <v>890</v>
      </c>
      <c r="BX484" s="7" t="s">
        <v>119</v>
      </c>
    </row>
    <row r="485" spans="1:76">
      <c r="A485" s="3" t="s">
        <v>1311</v>
      </c>
      <c r="B485" s="3">
        <v>5346</v>
      </c>
      <c r="C485" s="3" t="s">
        <v>1312</v>
      </c>
      <c r="D485" s="3">
        <v>1</v>
      </c>
      <c r="E485" s="4">
        <v>70</v>
      </c>
      <c r="F485" s="3" t="s">
        <v>87</v>
      </c>
      <c r="G485" s="3">
        <v>0</v>
      </c>
      <c r="H485" s="3">
        <v>0</v>
      </c>
      <c r="I485" s="4">
        <v>96</v>
      </c>
      <c r="J485" s="4">
        <v>47</v>
      </c>
      <c r="K485" s="4">
        <v>143</v>
      </c>
      <c r="L485" s="5">
        <f>IF(F485="F",65.79,IF(F485="M",79.94,""))</f>
        <v>65.790000000000006</v>
      </c>
      <c r="M485" s="3">
        <f t="shared" si="49"/>
        <v>1</v>
      </c>
      <c r="N485" s="3" t="str">
        <f t="shared" si="50"/>
        <v>VSC-halitosis</v>
      </c>
      <c r="O485" s="3" t="str">
        <f t="shared" si="51"/>
        <v>Clinical- / VSC+</v>
      </c>
      <c r="P485" s="5">
        <f t="shared" si="52"/>
        <v>4.962844630259907</v>
      </c>
      <c r="Q485" s="5">
        <f t="shared" si="53"/>
        <v>4.5747109785033828</v>
      </c>
      <c r="R485" s="5">
        <f t="shared" si="53"/>
        <v>3.8712010109078911</v>
      </c>
      <c r="S485" s="5">
        <f t="shared" si="54"/>
        <v>0.32867132867132864</v>
      </c>
      <c r="T485" s="3">
        <f t="shared" si="55"/>
        <v>0</v>
      </c>
      <c r="U485" s="3" t="s">
        <v>96</v>
      </c>
      <c r="V485" s="3">
        <v>3</v>
      </c>
      <c r="W485" s="6">
        <v>6.2</v>
      </c>
      <c r="X485" s="4">
        <v>8</v>
      </c>
      <c r="Y485" s="5">
        <v>0.5</v>
      </c>
      <c r="Z485" s="5">
        <v>2</v>
      </c>
      <c r="AA485" s="3" t="s">
        <v>88</v>
      </c>
      <c r="AB485" s="3">
        <v>0</v>
      </c>
      <c r="AC485" s="3" t="s">
        <v>81</v>
      </c>
      <c r="AD485" s="3">
        <v>0</v>
      </c>
      <c r="AE485" s="3" t="s">
        <v>82</v>
      </c>
      <c r="AF485" s="3">
        <v>1</v>
      </c>
      <c r="AG485" s="3" t="s">
        <v>98</v>
      </c>
      <c r="AH485" s="3">
        <v>0</v>
      </c>
      <c r="AI485" s="3">
        <v>2</v>
      </c>
      <c r="AJ485" s="3">
        <v>1</v>
      </c>
      <c r="AK485" s="3">
        <v>0</v>
      </c>
      <c r="AL485" s="3">
        <v>0</v>
      </c>
      <c r="AM485" s="3">
        <v>0</v>
      </c>
      <c r="AN485" s="3">
        <v>1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1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1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7" t="s">
        <v>397</v>
      </c>
      <c r="BX485" s="7" t="s">
        <v>1313</v>
      </c>
    </row>
    <row r="486" spans="1:76">
      <c r="A486" s="3" t="s">
        <v>1314</v>
      </c>
      <c r="B486" s="3">
        <v>5348</v>
      </c>
      <c r="C486" s="3" t="s">
        <v>1315</v>
      </c>
      <c r="D486" s="3">
        <v>1</v>
      </c>
      <c r="E486" s="4">
        <v>53</v>
      </c>
      <c r="F486" s="3" t="s">
        <v>87</v>
      </c>
      <c r="G486" s="3">
        <v>0</v>
      </c>
      <c r="H486" s="3">
        <v>0</v>
      </c>
      <c r="I486" s="4">
        <v>1</v>
      </c>
      <c r="J486" s="4">
        <v>6</v>
      </c>
      <c r="K486" s="4">
        <v>7</v>
      </c>
      <c r="L486" s="5">
        <f>IF(F486="F",65.79,IF(F486="M",79.94,""))</f>
        <v>65.790000000000006</v>
      </c>
      <c r="M486" s="3">
        <f t="shared" si="49"/>
        <v>0</v>
      </c>
      <c r="N486" s="3" t="str">
        <f t="shared" si="50"/>
        <v>VSC-non-halitosis</v>
      </c>
      <c r="O486" s="3" t="str">
        <f t="shared" si="51"/>
        <v>Clinical- / VSC-</v>
      </c>
      <c r="P486" s="5">
        <f t="shared" si="52"/>
        <v>1.9459101490553132</v>
      </c>
      <c r="Q486" s="5">
        <f t="shared" si="53"/>
        <v>0.69314718055994529</v>
      </c>
      <c r="R486" s="5">
        <f t="shared" si="53"/>
        <v>1.9459101490553132</v>
      </c>
      <c r="S486" s="5">
        <f t="shared" si="54"/>
        <v>0.8571428571428571</v>
      </c>
      <c r="T486" s="3">
        <f t="shared" si="55"/>
        <v>1</v>
      </c>
      <c r="U486" s="3" t="s">
        <v>79</v>
      </c>
      <c r="V486" s="3">
        <v>2</v>
      </c>
      <c r="W486" s="6">
        <v>6</v>
      </c>
      <c r="X486" s="4">
        <v>8</v>
      </c>
      <c r="Y486" s="5">
        <v>0.5</v>
      </c>
      <c r="Z486" s="5">
        <v>1.2</v>
      </c>
      <c r="AA486" s="3" t="s">
        <v>88</v>
      </c>
      <c r="AB486" s="3">
        <v>0</v>
      </c>
      <c r="AC486" s="3" t="s">
        <v>81</v>
      </c>
      <c r="AD486" s="3">
        <v>0</v>
      </c>
      <c r="AE486" s="3" t="s">
        <v>82</v>
      </c>
      <c r="AF486" s="3">
        <v>1</v>
      </c>
      <c r="AG486" s="3" t="s">
        <v>82</v>
      </c>
      <c r="AH486" s="3">
        <v>1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7" t="s">
        <v>1316</v>
      </c>
      <c r="BX486" s="7"/>
    </row>
    <row r="487" spans="1:76">
      <c r="A487" s="3" t="s">
        <v>1317</v>
      </c>
      <c r="B487" s="3">
        <v>5359</v>
      </c>
      <c r="C487" s="3" t="s">
        <v>1318</v>
      </c>
      <c r="D487" s="3">
        <v>1</v>
      </c>
      <c r="E487" s="4">
        <v>31</v>
      </c>
      <c r="F487" s="3" t="s">
        <v>87</v>
      </c>
      <c r="G487" s="3">
        <v>0</v>
      </c>
      <c r="H487" s="3">
        <v>0</v>
      </c>
      <c r="I487" s="4">
        <v>0</v>
      </c>
      <c r="J487" s="4">
        <v>1</v>
      </c>
      <c r="K487" s="4">
        <v>1</v>
      </c>
      <c r="L487" s="5">
        <f>IF(F487="F",65.79,IF(F487="M",79.94,""))</f>
        <v>65.790000000000006</v>
      </c>
      <c r="M487" s="3">
        <f t="shared" si="49"/>
        <v>0</v>
      </c>
      <c r="N487" s="3" t="str">
        <f t="shared" si="50"/>
        <v>VSC-non-halitosis</v>
      </c>
      <c r="O487" s="3" t="str">
        <f t="shared" si="51"/>
        <v>Clinical- / VSC-</v>
      </c>
      <c r="P487" s="5">
        <f t="shared" si="52"/>
        <v>0</v>
      </c>
      <c r="Q487" s="5">
        <f t="shared" si="53"/>
        <v>0</v>
      </c>
      <c r="R487" s="5">
        <f t="shared" si="53"/>
        <v>0.69314718055994529</v>
      </c>
      <c r="S487" s="5">
        <f t="shared" si="54"/>
        <v>1</v>
      </c>
      <c r="T487" s="3">
        <f t="shared" si="55"/>
        <v>1</v>
      </c>
      <c r="U487" s="3" t="s">
        <v>102</v>
      </c>
      <c r="V487" s="3">
        <v>1</v>
      </c>
      <c r="W487" s="6">
        <v>7.4</v>
      </c>
      <c r="X487" s="4">
        <v>8</v>
      </c>
      <c r="Y487" s="5">
        <v>0.75</v>
      </c>
      <c r="Z487" s="5">
        <v>2</v>
      </c>
      <c r="AA487" s="3" t="s">
        <v>80</v>
      </c>
      <c r="AB487" s="3">
        <v>0</v>
      </c>
      <c r="AC487" s="3" t="s">
        <v>81</v>
      </c>
      <c r="AD487" s="3">
        <v>0</v>
      </c>
      <c r="AE487" s="3" t="s">
        <v>82</v>
      </c>
      <c r="AF487" s="3">
        <v>1</v>
      </c>
      <c r="AG487" s="3" t="s">
        <v>82</v>
      </c>
      <c r="AH487" s="3">
        <v>1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7" t="s">
        <v>119</v>
      </c>
      <c r="BX487" s="7"/>
    </row>
    <row r="488" spans="1:76">
      <c r="A488" s="3" t="s">
        <v>1319</v>
      </c>
      <c r="B488" s="3">
        <v>5396</v>
      </c>
      <c r="C488" s="3" t="s">
        <v>1320</v>
      </c>
      <c r="D488" s="3">
        <v>1</v>
      </c>
      <c r="E488" s="4">
        <v>10</v>
      </c>
      <c r="F488" s="3" t="s">
        <v>78</v>
      </c>
      <c r="G488" s="3">
        <v>0</v>
      </c>
      <c r="H488" s="3">
        <v>0</v>
      </c>
      <c r="I488" s="4">
        <v>0</v>
      </c>
      <c r="J488" s="4">
        <v>1</v>
      </c>
      <c r="K488" s="4">
        <v>1</v>
      </c>
      <c r="L488" s="5">
        <f>IF(F488="F",65.79,IF(F488="M",79.94,""))</f>
        <v>79.94</v>
      </c>
      <c r="M488" s="3">
        <f t="shared" si="49"/>
        <v>0</v>
      </c>
      <c r="N488" s="3" t="str">
        <f t="shared" si="50"/>
        <v>VSC-non-halitosis</v>
      </c>
      <c r="O488" s="3" t="str">
        <f t="shared" si="51"/>
        <v>Clinical- / VSC-</v>
      </c>
      <c r="P488" s="5">
        <f t="shared" si="52"/>
        <v>0</v>
      </c>
      <c r="Q488" s="5">
        <f t="shared" si="53"/>
        <v>0</v>
      </c>
      <c r="R488" s="5">
        <f t="shared" si="53"/>
        <v>0.69314718055994529</v>
      </c>
      <c r="S488" s="5">
        <f t="shared" si="54"/>
        <v>1</v>
      </c>
      <c r="T488" s="3">
        <f t="shared" si="55"/>
        <v>1</v>
      </c>
      <c r="U488" s="3" t="s">
        <v>102</v>
      </c>
      <c r="V488" s="3">
        <v>1</v>
      </c>
      <c r="W488" s="6">
        <v>7.4</v>
      </c>
      <c r="X488" s="4">
        <v>10</v>
      </c>
      <c r="Y488" s="5">
        <v>0.75</v>
      </c>
      <c r="Z488" s="5">
        <v>3</v>
      </c>
      <c r="AA488" s="3" t="s">
        <v>108</v>
      </c>
      <c r="AB488" s="3">
        <v>1</v>
      </c>
      <c r="AC488" s="3" t="s">
        <v>81</v>
      </c>
      <c r="AD488" s="3">
        <v>0</v>
      </c>
      <c r="AE488" s="3" t="s">
        <v>98</v>
      </c>
      <c r="AF488" s="3">
        <v>0</v>
      </c>
      <c r="AG488" s="3" t="s">
        <v>82</v>
      </c>
      <c r="AH488" s="3">
        <v>1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7" t="s">
        <v>119</v>
      </c>
      <c r="BX488" s="7" t="s">
        <v>119</v>
      </c>
    </row>
    <row r="489" spans="1:76">
      <c r="A489" s="3" t="s">
        <v>1321</v>
      </c>
      <c r="B489" s="3">
        <v>5471</v>
      </c>
      <c r="C489" s="3" t="s">
        <v>1322</v>
      </c>
      <c r="D489" s="3">
        <v>1</v>
      </c>
      <c r="E489" s="4">
        <v>77</v>
      </c>
      <c r="F489" s="3" t="s">
        <v>87</v>
      </c>
      <c r="G489" s="3">
        <v>0</v>
      </c>
      <c r="H489" s="3">
        <v>0</v>
      </c>
      <c r="I489" s="4">
        <v>34</v>
      </c>
      <c r="J489" s="4">
        <v>5</v>
      </c>
      <c r="K489" s="4">
        <v>39</v>
      </c>
      <c r="L489" s="5">
        <f>IF(F489="F",65.79,IF(F489="M",79.94,""))</f>
        <v>65.790000000000006</v>
      </c>
      <c r="M489" s="3">
        <f t="shared" si="49"/>
        <v>0</v>
      </c>
      <c r="N489" s="3" t="str">
        <f t="shared" si="50"/>
        <v>VSC-non-halitosis</v>
      </c>
      <c r="O489" s="3" t="str">
        <f t="shared" si="51"/>
        <v>Clinical- / VSC-</v>
      </c>
      <c r="P489" s="5">
        <f t="shared" si="52"/>
        <v>3.6635616461296463</v>
      </c>
      <c r="Q489" s="5">
        <f t="shared" si="53"/>
        <v>3.5553480614894135</v>
      </c>
      <c r="R489" s="5">
        <f t="shared" si="53"/>
        <v>1.791759469228055</v>
      </c>
      <c r="S489" s="5">
        <f t="shared" si="54"/>
        <v>0.12820512820512819</v>
      </c>
      <c r="T489" s="3">
        <f t="shared" si="55"/>
        <v>0</v>
      </c>
      <c r="U489" s="3" t="s">
        <v>96</v>
      </c>
      <c r="V489" s="3">
        <v>3</v>
      </c>
      <c r="W489" s="6">
        <v>7.6</v>
      </c>
      <c r="X489" s="4">
        <v>8</v>
      </c>
      <c r="Y489" s="5">
        <v>0.75</v>
      </c>
      <c r="Z489" s="5">
        <v>1.5</v>
      </c>
      <c r="AA489" s="3" t="s">
        <v>108</v>
      </c>
      <c r="AB489" s="3">
        <v>1</v>
      </c>
      <c r="AC489" s="3" t="s">
        <v>81</v>
      </c>
      <c r="AD489" s="3">
        <v>0</v>
      </c>
      <c r="AE489" s="3" t="s">
        <v>82</v>
      </c>
      <c r="AF489" s="3">
        <v>1</v>
      </c>
      <c r="AG489" s="3" t="s">
        <v>82</v>
      </c>
      <c r="AH489" s="3">
        <v>1</v>
      </c>
      <c r="AI489" s="3">
        <v>2</v>
      </c>
      <c r="AJ489" s="3">
        <v>0</v>
      </c>
      <c r="AK489" s="3">
        <v>0</v>
      </c>
      <c r="AL489" s="3">
        <v>1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1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7" t="s">
        <v>1231</v>
      </c>
      <c r="BX489" s="7" t="s">
        <v>1323</v>
      </c>
    </row>
    <row r="490" spans="1:76" ht="34">
      <c r="A490" s="3" t="s">
        <v>1324</v>
      </c>
      <c r="B490" s="3">
        <v>6838</v>
      </c>
      <c r="C490" s="3" t="s">
        <v>1325</v>
      </c>
      <c r="D490" s="3">
        <v>1</v>
      </c>
      <c r="E490" s="4">
        <v>69</v>
      </c>
      <c r="F490" s="3" t="s">
        <v>87</v>
      </c>
      <c r="G490" s="3">
        <v>0</v>
      </c>
      <c r="H490" s="3">
        <v>0</v>
      </c>
      <c r="I490" s="4">
        <v>0</v>
      </c>
      <c r="J490" s="4">
        <v>1</v>
      </c>
      <c r="K490" s="4">
        <v>1</v>
      </c>
      <c r="L490" s="5">
        <f>IF(F490="F",65.79,IF(F490="M",79.94,""))</f>
        <v>65.790000000000006</v>
      </c>
      <c r="M490" s="3">
        <f t="shared" si="49"/>
        <v>0</v>
      </c>
      <c r="N490" s="3" t="str">
        <f t="shared" si="50"/>
        <v>VSC-non-halitosis</v>
      </c>
      <c r="O490" s="3" t="str">
        <f t="shared" si="51"/>
        <v>Clinical- / VSC-</v>
      </c>
      <c r="P490" s="5">
        <f t="shared" si="52"/>
        <v>0</v>
      </c>
      <c r="Q490" s="5">
        <f t="shared" si="53"/>
        <v>0</v>
      </c>
      <c r="R490" s="5">
        <f t="shared" si="53"/>
        <v>0.69314718055994529</v>
      </c>
      <c r="S490" s="5">
        <f t="shared" si="54"/>
        <v>1</v>
      </c>
      <c r="T490" s="3">
        <f t="shared" si="55"/>
        <v>1</v>
      </c>
      <c r="U490" s="3" t="s">
        <v>102</v>
      </c>
      <c r="V490" s="3">
        <v>1</v>
      </c>
      <c r="W490" s="6">
        <v>6.6</v>
      </c>
      <c r="X490" s="4">
        <v>6</v>
      </c>
      <c r="Y490" s="5">
        <v>0.05</v>
      </c>
      <c r="Z490" s="5">
        <v>0.8</v>
      </c>
      <c r="AA490" s="3" t="s">
        <v>80</v>
      </c>
      <c r="AB490" s="3">
        <v>0</v>
      </c>
      <c r="AC490" s="3" t="s">
        <v>81</v>
      </c>
      <c r="AD490" s="3">
        <v>0</v>
      </c>
      <c r="AE490" s="3" t="s">
        <v>82</v>
      </c>
      <c r="AF490" s="3">
        <v>1</v>
      </c>
      <c r="AG490" s="3" t="s">
        <v>82</v>
      </c>
      <c r="AH490" s="3">
        <v>1</v>
      </c>
      <c r="AI490" s="3">
        <v>2</v>
      </c>
      <c r="AJ490" s="3">
        <v>1</v>
      </c>
      <c r="AK490" s="3">
        <v>0</v>
      </c>
      <c r="AL490" s="3">
        <v>1</v>
      </c>
      <c r="AM490" s="3">
        <v>0</v>
      </c>
      <c r="AN490" s="3">
        <v>1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1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7" t="s">
        <v>1326</v>
      </c>
      <c r="BX490" s="7" t="s">
        <v>80</v>
      </c>
    </row>
    <row r="491" spans="1:76">
      <c r="A491" s="3" t="s">
        <v>1327</v>
      </c>
      <c r="B491" s="3">
        <v>5405</v>
      </c>
      <c r="C491" s="3" t="s">
        <v>1328</v>
      </c>
      <c r="D491" s="3">
        <v>1</v>
      </c>
      <c r="E491" s="4">
        <v>82</v>
      </c>
      <c r="F491" s="3" t="s">
        <v>87</v>
      </c>
      <c r="G491" s="3">
        <v>0</v>
      </c>
      <c r="H491" s="3">
        <v>0</v>
      </c>
      <c r="I491" s="4">
        <v>0</v>
      </c>
      <c r="J491" s="4">
        <v>4</v>
      </c>
      <c r="K491" s="4">
        <v>4</v>
      </c>
      <c r="L491" s="5">
        <f>IF(F491="F",65.79,IF(F491="M",79.94,""))</f>
        <v>65.790000000000006</v>
      </c>
      <c r="M491" s="3">
        <f t="shared" si="49"/>
        <v>0</v>
      </c>
      <c r="N491" s="3" t="str">
        <f t="shared" si="50"/>
        <v>VSC-non-halitosis</v>
      </c>
      <c r="O491" s="3" t="str">
        <f t="shared" si="51"/>
        <v>Clinical- / VSC-</v>
      </c>
      <c r="P491" s="5">
        <f t="shared" si="52"/>
        <v>1.3862943611198906</v>
      </c>
      <c r="Q491" s="5">
        <f t="shared" si="53"/>
        <v>0</v>
      </c>
      <c r="R491" s="5">
        <f t="shared" si="53"/>
        <v>1.6094379124341003</v>
      </c>
      <c r="S491" s="5">
        <f t="shared" si="54"/>
        <v>1</v>
      </c>
      <c r="T491" s="3">
        <f t="shared" si="55"/>
        <v>1</v>
      </c>
      <c r="U491" s="3" t="s">
        <v>79</v>
      </c>
      <c r="V491" s="3">
        <v>2</v>
      </c>
      <c r="W491" s="6">
        <v>5.6</v>
      </c>
      <c r="X491" s="4">
        <v>4</v>
      </c>
      <c r="Y491" s="5">
        <v>0.2</v>
      </c>
      <c r="Z491" s="5">
        <v>0.6</v>
      </c>
      <c r="AA491" s="3" t="s">
        <v>108</v>
      </c>
      <c r="AB491" s="3">
        <v>1</v>
      </c>
      <c r="AC491" s="3" t="s">
        <v>81</v>
      </c>
      <c r="AD491" s="3">
        <v>0</v>
      </c>
      <c r="AE491" s="3" t="s">
        <v>98</v>
      </c>
      <c r="AF491" s="3">
        <v>0</v>
      </c>
      <c r="AG491" s="3" t="s">
        <v>82</v>
      </c>
      <c r="AH491" s="3">
        <v>1</v>
      </c>
      <c r="AI491" s="3">
        <v>1</v>
      </c>
      <c r="AJ491" s="3">
        <v>0</v>
      </c>
      <c r="AK491" s="3">
        <v>0</v>
      </c>
      <c r="AL491" s="3">
        <v>1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7" t="s">
        <v>1329</v>
      </c>
      <c r="BX491" s="7" t="s">
        <v>119</v>
      </c>
    </row>
    <row r="492" spans="1:76">
      <c r="A492" s="3" t="s">
        <v>1330</v>
      </c>
      <c r="B492" s="3">
        <v>6426</v>
      </c>
      <c r="C492" s="3" t="s">
        <v>1331</v>
      </c>
      <c r="D492" s="3">
        <v>1</v>
      </c>
      <c r="E492" s="4">
        <v>56</v>
      </c>
      <c r="F492" s="3" t="s">
        <v>87</v>
      </c>
      <c r="G492" s="3">
        <v>0</v>
      </c>
      <c r="H492" s="3">
        <v>0</v>
      </c>
      <c r="I492" s="4">
        <v>1</v>
      </c>
      <c r="J492" s="4">
        <v>0</v>
      </c>
      <c r="K492" s="4">
        <v>1</v>
      </c>
      <c r="L492" s="5">
        <f>IF(F492="F",65.79,IF(F492="M",79.94,""))</f>
        <v>65.790000000000006</v>
      </c>
      <c r="M492" s="3">
        <f t="shared" si="49"/>
        <v>0</v>
      </c>
      <c r="N492" s="3" t="str">
        <f t="shared" si="50"/>
        <v>VSC-non-halitosis</v>
      </c>
      <c r="O492" s="3" t="str">
        <f t="shared" si="51"/>
        <v>Clinical- / VSC-</v>
      </c>
      <c r="P492" s="5">
        <f t="shared" si="52"/>
        <v>0</v>
      </c>
      <c r="Q492" s="5">
        <f t="shared" si="53"/>
        <v>0.69314718055994529</v>
      </c>
      <c r="R492" s="5">
        <f t="shared" si="53"/>
        <v>0</v>
      </c>
      <c r="S492" s="5">
        <f t="shared" si="54"/>
        <v>0</v>
      </c>
      <c r="T492" s="3">
        <f t="shared" si="55"/>
        <v>0</v>
      </c>
      <c r="U492" s="3" t="s">
        <v>102</v>
      </c>
      <c r="V492" s="3">
        <v>1</v>
      </c>
      <c r="W492" s="6">
        <v>6.4</v>
      </c>
      <c r="X492" s="4">
        <v>8</v>
      </c>
      <c r="Y492" s="5">
        <v>0.75</v>
      </c>
      <c r="Z492" s="5">
        <v>1.8</v>
      </c>
      <c r="AA492" s="3" t="s">
        <v>80</v>
      </c>
      <c r="AB492" s="3">
        <v>0</v>
      </c>
      <c r="AC492" s="3" t="s">
        <v>113</v>
      </c>
      <c r="AD492" s="3">
        <v>0</v>
      </c>
      <c r="AE492" s="3" t="s">
        <v>82</v>
      </c>
      <c r="AF492" s="3">
        <v>1</v>
      </c>
      <c r="AG492" s="3" t="s">
        <v>82</v>
      </c>
      <c r="AH492" s="3">
        <v>1</v>
      </c>
      <c r="AI492" s="3">
        <v>2</v>
      </c>
      <c r="AJ492" s="3">
        <v>2</v>
      </c>
      <c r="AK492" s="3">
        <v>1</v>
      </c>
      <c r="AL492" s="3">
        <v>1</v>
      </c>
      <c r="AM492" s="3">
        <v>0</v>
      </c>
      <c r="AN492" s="3">
        <v>1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1</v>
      </c>
      <c r="BG492" s="3">
        <v>1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7" t="s">
        <v>186</v>
      </c>
      <c r="BX492" s="7" t="s">
        <v>1332</v>
      </c>
    </row>
    <row r="493" spans="1:76">
      <c r="A493" s="3" t="s">
        <v>1333</v>
      </c>
      <c r="B493" s="3">
        <v>5467</v>
      </c>
      <c r="C493" s="3" t="s">
        <v>1334</v>
      </c>
      <c r="D493" s="3">
        <v>1</v>
      </c>
      <c r="E493" s="4">
        <v>67</v>
      </c>
      <c r="F493" s="3" t="s">
        <v>87</v>
      </c>
      <c r="G493" s="3">
        <v>0</v>
      </c>
      <c r="H493" s="3">
        <v>1</v>
      </c>
      <c r="I493" s="4">
        <v>2</v>
      </c>
      <c r="J493" s="4">
        <v>0</v>
      </c>
      <c r="K493" s="4">
        <v>2</v>
      </c>
      <c r="L493" s="5">
        <f>IF(F493="F",65.79,IF(F493="M",79.94,""))</f>
        <v>65.790000000000006</v>
      </c>
      <c r="M493" s="3">
        <f t="shared" si="49"/>
        <v>0</v>
      </c>
      <c r="N493" s="3" t="str">
        <f t="shared" si="50"/>
        <v>VSC-non-halitosis</v>
      </c>
      <c r="O493" s="3" t="str">
        <f t="shared" si="51"/>
        <v>Clinical- / VSC-</v>
      </c>
      <c r="P493" s="5">
        <f t="shared" si="52"/>
        <v>0.69314718055994529</v>
      </c>
      <c r="Q493" s="5">
        <f t="shared" si="53"/>
        <v>1.0986122886681098</v>
      </c>
      <c r="R493" s="5">
        <f t="shared" si="53"/>
        <v>0</v>
      </c>
      <c r="S493" s="5">
        <f t="shared" si="54"/>
        <v>0</v>
      </c>
      <c r="T493" s="3">
        <f t="shared" si="55"/>
        <v>0</v>
      </c>
      <c r="U493" s="3" t="s">
        <v>102</v>
      </c>
      <c r="V493" s="3">
        <v>1</v>
      </c>
      <c r="W493" s="6">
        <v>5.4</v>
      </c>
      <c r="X493" s="4">
        <v>2</v>
      </c>
      <c r="Y493" s="5">
        <v>0.1</v>
      </c>
      <c r="Z493" s="5">
        <v>0.6</v>
      </c>
      <c r="AA493" s="3" t="s">
        <v>80</v>
      </c>
      <c r="AB493" s="3">
        <v>0</v>
      </c>
      <c r="AC493" s="3" t="s">
        <v>81</v>
      </c>
      <c r="AD493" s="3">
        <v>0</v>
      </c>
      <c r="AE493" s="3" t="s">
        <v>82</v>
      </c>
      <c r="AF493" s="3">
        <v>1</v>
      </c>
      <c r="AG493" s="3" t="s">
        <v>82</v>
      </c>
      <c r="AH493" s="3">
        <v>1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7" t="s">
        <v>119</v>
      </c>
      <c r="BX493" s="7" t="s">
        <v>1335</v>
      </c>
    </row>
    <row r="494" spans="1:76">
      <c r="A494" s="3" t="s">
        <v>1336</v>
      </c>
      <c r="B494" s="3">
        <v>5511</v>
      </c>
      <c r="C494" s="3" t="s">
        <v>1337</v>
      </c>
      <c r="D494" s="3">
        <v>1</v>
      </c>
      <c r="E494" s="4">
        <v>42</v>
      </c>
      <c r="F494" s="3" t="s">
        <v>87</v>
      </c>
      <c r="G494" s="3">
        <v>0</v>
      </c>
      <c r="H494" s="3">
        <v>0</v>
      </c>
      <c r="I494" s="4">
        <v>13</v>
      </c>
      <c r="J494" s="4">
        <v>1</v>
      </c>
      <c r="K494" s="4">
        <v>14</v>
      </c>
      <c r="L494" s="5">
        <f>IF(F494="F",65.79,IF(F494="M",79.94,""))</f>
        <v>65.790000000000006</v>
      </c>
      <c r="M494" s="3">
        <f t="shared" si="49"/>
        <v>0</v>
      </c>
      <c r="N494" s="3" t="str">
        <f t="shared" si="50"/>
        <v>VSC-non-halitosis</v>
      </c>
      <c r="O494" s="3" t="str">
        <f t="shared" si="51"/>
        <v>Clinical- / VSC-</v>
      </c>
      <c r="P494" s="5">
        <f t="shared" si="52"/>
        <v>2.6390573296152584</v>
      </c>
      <c r="Q494" s="5">
        <f t="shared" si="53"/>
        <v>2.6390573296152584</v>
      </c>
      <c r="R494" s="5">
        <f t="shared" si="53"/>
        <v>0.69314718055994529</v>
      </c>
      <c r="S494" s="5">
        <f t="shared" si="54"/>
        <v>7.1428571428571425E-2</v>
      </c>
      <c r="T494" s="3">
        <f t="shared" si="55"/>
        <v>0</v>
      </c>
      <c r="U494" s="3" t="s">
        <v>79</v>
      </c>
      <c r="V494" s="3">
        <v>2</v>
      </c>
      <c r="W494" s="6">
        <v>604</v>
      </c>
      <c r="X494" s="4">
        <v>12</v>
      </c>
      <c r="Y494" s="5">
        <v>0.3</v>
      </c>
      <c r="Z494" s="5">
        <v>1.4</v>
      </c>
      <c r="AA494" s="3" t="s">
        <v>80</v>
      </c>
      <c r="AB494" s="3">
        <v>0</v>
      </c>
      <c r="AC494" s="3" t="s">
        <v>113</v>
      </c>
      <c r="AD494" s="3">
        <v>0</v>
      </c>
      <c r="AE494" s="3" t="s">
        <v>98</v>
      </c>
      <c r="AF494" s="3">
        <v>0</v>
      </c>
      <c r="AG494" s="3" t="s">
        <v>98</v>
      </c>
      <c r="AH494" s="3">
        <v>0</v>
      </c>
      <c r="AI494" s="3">
        <v>0</v>
      </c>
      <c r="AJ494" s="3">
        <v>1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1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7" t="s">
        <v>1338</v>
      </c>
      <c r="BX494" s="7"/>
    </row>
    <row r="495" spans="1:76">
      <c r="A495" s="3" t="s">
        <v>1339</v>
      </c>
      <c r="B495" s="3">
        <v>5532</v>
      </c>
      <c r="C495" s="3" t="s">
        <v>1340</v>
      </c>
      <c r="D495" s="3">
        <v>1</v>
      </c>
      <c r="E495" s="4">
        <v>71</v>
      </c>
      <c r="F495" s="3" t="s">
        <v>87</v>
      </c>
      <c r="G495" s="3">
        <v>0</v>
      </c>
      <c r="H495" s="3">
        <v>0</v>
      </c>
      <c r="I495" s="4">
        <v>0</v>
      </c>
      <c r="J495" s="4">
        <v>2</v>
      </c>
      <c r="K495" s="4">
        <v>2</v>
      </c>
      <c r="L495" s="5">
        <f>IF(F495="F",65.79,IF(F495="M",79.94,""))</f>
        <v>65.790000000000006</v>
      </c>
      <c r="M495" s="3">
        <f t="shared" si="49"/>
        <v>0</v>
      </c>
      <c r="N495" s="3" t="str">
        <f t="shared" si="50"/>
        <v>VSC-non-halitosis</v>
      </c>
      <c r="O495" s="3" t="str">
        <f t="shared" si="51"/>
        <v>Clinical- / VSC-</v>
      </c>
      <c r="P495" s="5">
        <f t="shared" si="52"/>
        <v>0.69314718055994529</v>
      </c>
      <c r="Q495" s="5">
        <f t="shared" si="53"/>
        <v>0</v>
      </c>
      <c r="R495" s="5">
        <f t="shared" si="53"/>
        <v>1.0986122886681098</v>
      </c>
      <c r="S495" s="5">
        <f t="shared" si="54"/>
        <v>1</v>
      </c>
      <c r="T495" s="3">
        <f t="shared" si="55"/>
        <v>1</v>
      </c>
      <c r="U495" s="3" t="s">
        <v>102</v>
      </c>
      <c r="V495" s="3">
        <v>1</v>
      </c>
      <c r="W495" s="6">
        <v>6.8</v>
      </c>
      <c r="X495" s="4">
        <v>12</v>
      </c>
      <c r="Y495" s="5">
        <v>0.4</v>
      </c>
      <c r="Z495" s="5">
        <v>1.5</v>
      </c>
      <c r="AA495" s="3" t="s">
        <v>80</v>
      </c>
      <c r="AB495" s="3">
        <v>0</v>
      </c>
      <c r="AC495" s="3" t="s">
        <v>81</v>
      </c>
      <c r="AD495" s="3">
        <v>0</v>
      </c>
      <c r="AE495" s="3" t="s">
        <v>82</v>
      </c>
      <c r="AF495" s="3">
        <v>1</v>
      </c>
      <c r="AG495" s="3" t="s">
        <v>82</v>
      </c>
      <c r="AH495" s="3">
        <v>1</v>
      </c>
      <c r="AI495" s="3">
        <v>1</v>
      </c>
      <c r="AJ495" s="3">
        <v>0</v>
      </c>
      <c r="AK495" s="3">
        <v>0</v>
      </c>
      <c r="AL495" s="3">
        <v>1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7" t="s">
        <v>186</v>
      </c>
      <c r="BX495" s="7" t="s">
        <v>119</v>
      </c>
    </row>
    <row r="496" spans="1:76">
      <c r="A496" s="3" t="s">
        <v>1341</v>
      </c>
      <c r="B496" s="3">
        <v>5550</v>
      </c>
      <c r="C496" s="3" t="s">
        <v>1342</v>
      </c>
      <c r="D496" s="3">
        <v>1</v>
      </c>
      <c r="E496" s="4">
        <v>57</v>
      </c>
      <c r="F496" s="3" t="s">
        <v>87</v>
      </c>
      <c r="G496" s="3">
        <v>0</v>
      </c>
      <c r="H496" s="3">
        <v>0</v>
      </c>
      <c r="I496" s="4">
        <v>0</v>
      </c>
      <c r="J496" s="4">
        <v>1</v>
      </c>
      <c r="K496" s="4">
        <v>1</v>
      </c>
      <c r="L496" s="5">
        <f>IF(F496="F",65.79,IF(F496="M",79.94,""))</f>
        <v>65.790000000000006</v>
      </c>
      <c r="M496" s="3">
        <f t="shared" si="49"/>
        <v>0</v>
      </c>
      <c r="N496" s="3" t="str">
        <f t="shared" si="50"/>
        <v>VSC-non-halitosis</v>
      </c>
      <c r="O496" s="3" t="str">
        <f t="shared" si="51"/>
        <v>Clinical- / VSC-</v>
      </c>
      <c r="P496" s="5">
        <f t="shared" si="52"/>
        <v>0</v>
      </c>
      <c r="Q496" s="5">
        <f t="shared" si="53"/>
        <v>0</v>
      </c>
      <c r="R496" s="5">
        <f t="shared" si="53"/>
        <v>0.69314718055994529</v>
      </c>
      <c r="S496" s="5">
        <f t="shared" si="54"/>
        <v>1</v>
      </c>
      <c r="T496" s="3">
        <f t="shared" si="55"/>
        <v>1</v>
      </c>
      <c r="U496" s="3" t="s">
        <v>102</v>
      </c>
      <c r="V496" s="3">
        <v>1</v>
      </c>
      <c r="W496" s="6">
        <v>7</v>
      </c>
      <c r="X496" s="4">
        <v>7</v>
      </c>
      <c r="Y496" s="5">
        <v>0.5</v>
      </c>
      <c r="Z496" s="5">
        <v>1.5</v>
      </c>
      <c r="AA496" s="3" t="s">
        <v>80</v>
      </c>
      <c r="AB496" s="3">
        <v>0</v>
      </c>
      <c r="AC496" s="3" t="s">
        <v>113</v>
      </c>
      <c r="AD496" s="3">
        <v>0</v>
      </c>
      <c r="AE496" s="3" t="s">
        <v>98</v>
      </c>
      <c r="AF496" s="3">
        <v>0</v>
      </c>
      <c r="AG496" s="3" t="s">
        <v>98</v>
      </c>
      <c r="AH496" s="3">
        <v>0</v>
      </c>
      <c r="AI496" s="3">
        <v>2</v>
      </c>
      <c r="AJ496" s="3">
        <v>2</v>
      </c>
      <c r="AK496" s="3">
        <v>0</v>
      </c>
      <c r="AL496" s="3">
        <v>0</v>
      </c>
      <c r="AM496" s="3">
        <v>1</v>
      </c>
      <c r="AN496" s="3">
        <v>1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1</v>
      </c>
      <c r="BG496" s="3">
        <v>0</v>
      </c>
      <c r="BH496" s="3">
        <v>0</v>
      </c>
      <c r="BI496" s="3">
        <v>0</v>
      </c>
      <c r="BJ496" s="3">
        <v>0</v>
      </c>
      <c r="BK496" s="3">
        <v>1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7" t="s">
        <v>1343</v>
      </c>
      <c r="BX496" s="7" t="s">
        <v>1344</v>
      </c>
    </row>
    <row r="497" spans="1:76">
      <c r="A497" s="3" t="s">
        <v>1345</v>
      </c>
      <c r="B497" s="3">
        <v>5555</v>
      </c>
      <c r="C497" s="3" t="s">
        <v>1346</v>
      </c>
      <c r="D497" s="3">
        <v>1</v>
      </c>
      <c r="E497" s="4">
        <v>62</v>
      </c>
      <c r="F497" s="3" t="s">
        <v>87</v>
      </c>
      <c r="G497" s="3">
        <v>0</v>
      </c>
      <c r="H497" s="3">
        <v>0</v>
      </c>
      <c r="I497" s="4">
        <v>60</v>
      </c>
      <c r="J497" s="4">
        <v>3</v>
      </c>
      <c r="K497" s="4">
        <v>63</v>
      </c>
      <c r="L497" s="5">
        <f>IF(F497="F",65.79,IF(F497="M",79.94,""))</f>
        <v>65.790000000000006</v>
      </c>
      <c r="M497" s="3">
        <f t="shared" si="49"/>
        <v>0</v>
      </c>
      <c r="N497" s="3" t="str">
        <f t="shared" si="50"/>
        <v>VSC-non-halitosis</v>
      </c>
      <c r="O497" s="3" t="str">
        <f t="shared" si="51"/>
        <v>Clinical- / VSC-</v>
      </c>
      <c r="P497" s="5">
        <f t="shared" si="52"/>
        <v>4.1431347263915326</v>
      </c>
      <c r="Q497" s="5">
        <f t="shared" si="53"/>
        <v>4.1108738641733114</v>
      </c>
      <c r="R497" s="5">
        <f t="shared" si="53"/>
        <v>1.3862943611198906</v>
      </c>
      <c r="S497" s="5">
        <f t="shared" si="54"/>
        <v>4.7619047619047616E-2</v>
      </c>
      <c r="T497" s="3">
        <f t="shared" si="55"/>
        <v>0</v>
      </c>
      <c r="U497" s="3" t="s">
        <v>96</v>
      </c>
      <c r="V497" s="3">
        <v>3</v>
      </c>
      <c r="W497" s="6">
        <v>6.2</v>
      </c>
      <c r="X497" s="4">
        <v>7</v>
      </c>
      <c r="Y497" s="5">
        <v>0.4</v>
      </c>
      <c r="Z497" s="5">
        <v>0.8</v>
      </c>
      <c r="AA497" s="3" t="s">
        <v>108</v>
      </c>
      <c r="AB497" s="3">
        <v>1</v>
      </c>
      <c r="AC497" s="3" t="s">
        <v>81</v>
      </c>
      <c r="AD497" s="3">
        <v>0</v>
      </c>
      <c r="AE497" s="3" t="s">
        <v>82</v>
      </c>
      <c r="AF497" s="3">
        <v>1</v>
      </c>
      <c r="AG497" s="3" t="s">
        <v>98</v>
      </c>
      <c r="AH497" s="3">
        <v>0</v>
      </c>
      <c r="AI497" s="3">
        <v>1</v>
      </c>
      <c r="AJ497" s="3">
        <v>1</v>
      </c>
      <c r="AK497" s="3">
        <v>0</v>
      </c>
      <c r="AL497" s="3">
        <v>0</v>
      </c>
      <c r="AM497" s="3">
        <v>0</v>
      </c>
      <c r="AN497" s="3">
        <v>1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1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7" t="s">
        <v>337</v>
      </c>
      <c r="BX497" s="7"/>
    </row>
    <row r="498" spans="1:76">
      <c r="A498" s="3" t="s">
        <v>1347</v>
      </c>
      <c r="B498" s="3">
        <v>5576</v>
      </c>
      <c r="C498" s="3" t="s">
        <v>1348</v>
      </c>
      <c r="D498" s="3">
        <v>1</v>
      </c>
      <c r="E498" s="4">
        <v>28</v>
      </c>
      <c r="F498" s="3" t="s">
        <v>78</v>
      </c>
      <c r="G498" s="3">
        <v>0</v>
      </c>
      <c r="H498" s="3">
        <v>0</v>
      </c>
      <c r="I498" s="4">
        <v>130</v>
      </c>
      <c r="J498" s="4">
        <v>2</v>
      </c>
      <c r="K498" s="4">
        <v>132</v>
      </c>
      <c r="L498" s="5">
        <f>IF(F498="F",65.79,IF(F498="M",79.94,""))</f>
        <v>79.94</v>
      </c>
      <c r="M498" s="3">
        <f t="shared" si="49"/>
        <v>1</v>
      </c>
      <c r="N498" s="3" t="str">
        <f t="shared" si="50"/>
        <v>VSC-halitosis</v>
      </c>
      <c r="O498" s="3" t="str">
        <f t="shared" si="51"/>
        <v>Clinical- / VSC+</v>
      </c>
      <c r="P498" s="5">
        <f t="shared" si="52"/>
        <v>4.8828019225863706</v>
      </c>
      <c r="Q498" s="5">
        <f t="shared" si="53"/>
        <v>4.8751973232011512</v>
      </c>
      <c r="R498" s="5">
        <f t="shared" si="53"/>
        <v>1.0986122886681098</v>
      </c>
      <c r="S498" s="5">
        <f t="shared" si="54"/>
        <v>1.5151515151515152E-2</v>
      </c>
      <c r="T498" s="3">
        <f t="shared" si="55"/>
        <v>0</v>
      </c>
      <c r="U498" s="3" t="s">
        <v>96</v>
      </c>
      <c r="V498" s="3">
        <v>3</v>
      </c>
      <c r="W498" s="6">
        <v>6.8</v>
      </c>
      <c r="X498" s="4">
        <v>12</v>
      </c>
      <c r="Y498" s="5">
        <v>0.85</v>
      </c>
      <c r="Z498" s="5">
        <v>2</v>
      </c>
      <c r="AA498" s="3" t="s">
        <v>80</v>
      </c>
      <c r="AB498" s="3">
        <v>0</v>
      </c>
      <c r="AC498" s="3" t="s">
        <v>81</v>
      </c>
      <c r="AD498" s="3">
        <v>0</v>
      </c>
      <c r="AE498" s="3" t="s">
        <v>82</v>
      </c>
      <c r="AF498" s="3">
        <v>1</v>
      </c>
      <c r="AG498" s="3" t="s">
        <v>98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7" t="s">
        <v>119</v>
      </c>
      <c r="BX498" s="7" t="s">
        <v>119</v>
      </c>
    </row>
    <row r="499" spans="1:76">
      <c r="A499" s="3" t="s">
        <v>1349</v>
      </c>
      <c r="B499" s="3">
        <v>5585</v>
      </c>
      <c r="C499" s="3" t="s">
        <v>1350</v>
      </c>
      <c r="D499" s="3">
        <v>1</v>
      </c>
      <c r="E499" s="4">
        <v>55</v>
      </c>
      <c r="F499" s="3" t="s">
        <v>87</v>
      </c>
      <c r="G499" s="3">
        <v>0</v>
      </c>
      <c r="H499" s="3">
        <v>0</v>
      </c>
      <c r="I499" s="4">
        <v>2</v>
      </c>
      <c r="J499" s="4">
        <v>2</v>
      </c>
      <c r="K499" s="4">
        <v>4</v>
      </c>
      <c r="L499" s="5">
        <f>IF(F499="F",65.79,IF(F499="M",79.94,""))</f>
        <v>65.790000000000006</v>
      </c>
      <c r="M499" s="3">
        <f t="shared" si="49"/>
        <v>0</v>
      </c>
      <c r="N499" s="3" t="str">
        <f t="shared" si="50"/>
        <v>VSC-non-halitosis</v>
      </c>
      <c r="O499" s="3" t="str">
        <f t="shared" si="51"/>
        <v>Clinical- / VSC-</v>
      </c>
      <c r="P499" s="5">
        <f t="shared" si="52"/>
        <v>1.3862943611198906</v>
      </c>
      <c r="Q499" s="5">
        <f t="shared" si="53"/>
        <v>1.0986122886681098</v>
      </c>
      <c r="R499" s="5">
        <f t="shared" si="53"/>
        <v>1.0986122886681098</v>
      </c>
      <c r="S499" s="5">
        <f t="shared" si="54"/>
        <v>0.5</v>
      </c>
      <c r="T499" s="3">
        <f t="shared" si="55"/>
        <v>0</v>
      </c>
      <c r="U499" s="3" t="s">
        <v>79</v>
      </c>
      <c r="V499" s="3">
        <v>2</v>
      </c>
      <c r="W499" s="6">
        <v>6.5</v>
      </c>
      <c r="X499" s="4">
        <v>12</v>
      </c>
      <c r="Y499" s="5">
        <v>0.35</v>
      </c>
      <c r="Z499" s="5">
        <v>1.2</v>
      </c>
      <c r="AA499" s="3" t="s">
        <v>80</v>
      </c>
      <c r="AB499" s="3">
        <v>0</v>
      </c>
      <c r="AC499" s="3" t="s">
        <v>81</v>
      </c>
      <c r="AD499" s="3">
        <v>0</v>
      </c>
      <c r="AE499" s="3" t="s">
        <v>98</v>
      </c>
      <c r="AF499" s="3">
        <v>0</v>
      </c>
      <c r="AG499" s="3" t="s">
        <v>82</v>
      </c>
      <c r="AH499" s="3">
        <v>1</v>
      </c>
      <c r="AI499" s="3">
        <v>1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1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7" t="s">
        <v>1351</v>
      </c>
      <c r="BX499" s="7" t="s">
        <v>1352</v>
      </c>
    </row>
    <row r="500" spans="1:76">
      <c r="A500" s="3" t="s">
        <v>1353</v>
      </c>
      <c r="B500" s="3">
        <v>5612</v>
      </c>
      <c r="C500" s="3" t="s">
        <v>1354</v>
      </c>
      <c r="D500" s="3">
        <v>1</v>
      </c>
      <c r="E500" s="4">
        <v>84</v>
      </c>
      <c r="F500" s="3" t="s">
        <v>78</v>
      </c>
      <c r="G500" s="3">
        <v>0</v>
      </c>
      <c r="H500" s="3">
        <v>0</v>
      </c>
      <c r="I500" s="4">
        <v>0</v>
      </c>
      <c r="J500" s="4">
        <v>2</v>
      </c>
      <c r="K500" s="4">
        <v>2</v>
      </c>
      <c r="L500" s="5">
        <f>IF(F500="F",65.79,IF(F500="M",79.94,""))</f>
        <v>79.94</v>
      </c>
      <c r="M500" s="3">
        <f t="shared" si="49"/>
        <v>0</v>
      </c>
      <c r="N500" s="3" t="str">
        <f t="shared" si="50"/>
        <v>VSC-non-halitosis</v>
      </c>
      <c r="O500" s="3" t="str">
        <f t="shared" si="51"/>
        <v>Clinical- / VSC-</v>
      </c>
      <c r="P500" s="5">
        <f t="shared" si="52"/>
        <v>0.69314718055994529</v>
      </c>
      <c r="Q500" s="5">
        <f t="shared" si="53"/>
        <v>0</v>
      </c>
      <c r="R500" s="5">
        <f t="shared" si="53"/>
        <v>1.0986122886681098</v>
      </c>
      <c r="S500" s="5">
        <f t="shared" si="54"/>
        <v>1</v>
      </c>
      <c r="T500" s="3">
        <f t="shared" si="55"/>
        <v>1</v>
      </c>
      <c r="U500" s="3" t="s">
        <v>102</v>
      </c>
      <c r="V500" s="3">
        <v>1</v>
      </c>
      <c r="W500" s="6">
        <v>5.6</v>
      </c>
      <c r="X500" s="4">
        <v>6</v>
      </c>
      <c r="Y500" s="5">
        <v>0.2</v>
      </c>
      <c r="Z500" s="5">
        <v>0.5</v>
      </c>
      <c r="AA500" s="3" t="s">
        <v>108</v>
      </c>
      <c r="AB500" s="3">
        <v>1</v>
      </c>
      <c r="AC500" s="3" t="s">
        <v>81</v>
      </c>
      <c r="AD500" s="3">
        <v>0</v>
      </c>
      <c r="AE500" s="3" t="s">
        <v>82</v>
      </c>
      <c r="AF500" s="3">
        <v>1</v>
      </c>
      <c r="AG500" s="3" t="s">
        <v>82</v>
      </c>
      <c r="AH500" s="3">
        <v>1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7"/>
      <c r="BX500" s="7" t="s">
        <v>1355</v>
      </c>
    </row>
    <row r="501" spans="1:76">
      <c r="A501" s="3" t="s">
        <v>1356</v>
      </c>
      <c r="B501" s="3">
        <v>5626</v>
      </c>
      <c r="C501" s="3" t="s">
        <v>1357</v>
      </c>
      <c r="D501" s="3">
        <v>1</v>
      </c>
      <c r="E501" s="4">
        <v>47</v>
      </c>
      <c r="F501" s="3" t="s">
        <v>87</v>
      </c>
      <c r="G501" s="3">
        <v>0</v>
      </c>
      <c r="H501" s="3">
        <v>0</v>
      </c>
      <c r="I501" s="4">
        <v>1</v>
      </c>
      <c r="J501" s="4">
        <v>0</v>
      </c>
      <c r="K501" s="4">
        <v>1</v>
      </c>
      <c r="L501" s="5">
        <f>IF(F501="F",65.79,IF(F501="M",79.94,""))</f>
        <v>65.790000000000006</v>
      </c>
      <c r="M501" s="3">
        <f t="shared" si="49"/>
        <v>0</v>
      </c>
      <c r="N501" s="3" t="str">
        <f t="shared" si="50"/>
        <v>VSC-non-halitosis</v>
      </c>
      <c r="O501" s="3" t="str">
        <f t="shared" si="51"/>
        <v>Clinical- / VSC-</v>
      </c>
      <c r="P501" s="5">
        <f t="shared" si="52"/>
        <v>0</v>
      </c>
      <c r="Q501" s="5">
        <f t="shared" si="53"/>
        <v>0.69314718055994529</v>
      </c>
      <c r="R501" s="5">
        <f t="shared" si="53"/>
        <v>0</v>
      </c>
      <c r="S501" s="5">
        <f t="shared" si="54"/>
        <v>0</v>
      </c>
      <c r="T501" s="3">
        <f t="shared" si="55"/>
        <v>0</v>
      </c>
      <c r="U501" s="3" t="s">
        <v>102</v>
      </c>
      <c r="V501" s="3">
        <v>1</v>
      </c>
      <c r="W501" s="6">
        <v>7</v>
      </c>
      <c r="X501" s="4">
        <v>9</v>
      </c>
      <c r="Y501" s="5">
        <v>0.4</v>
      </c>
      <c r="Z501" s="5">
        <v>1.5</v>
      </c>
      <c r="AA501" s="3" t="s">
        <v>80</v>
      </c>
      <c r="AB501" s="3">
        <v>0</v>
      </c>
      <c r="AC501" s="3" t="s">
        <v>81</v>
      </c>
      <c r="AD501" s="3">
        <v>0</v>
      </c>
      <c r="AE501" s="3" t="s">
        <v>82</v>
      </c>
      <c r="AF501" s="3">
        <v>1</v>
      </c>
      <c r="AG501" s="3" t="s">
        <v>82</v>
      </c>
      <c r="AH501" s="3">
        <v>1</v>
      </c>
      <c r="AI501" s="3">
        <v>1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1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7"/>
      <c r="BX501" s="7" t="s">
        <v>1358</v>
      </c>
    </row>
    <row r="502" spans="1:76">
      <c r="A502" s="3" t="s">
        <v>1359</v>
      </c>
      <c r="B502" s="3">
        <v>6427</v>
      </c>
      <c r="C502" s="3" t="s">
        <v>1360</v>
      </c>
      <c r="D502" s="3">
        <v>1</v>
      </c>
      <c r="E502" s="4">
        <v>69</v>
      </c>
      <c r="F502" s="3" t="s">
        <v>87</v>
      </c>
      <c r="G502" s="3">
        <v>0</v>
      </c>
      <c r="H502" s="3">
        <v>0</v>
      </c>
      <c r="I502" s="4">
        <v>0</v>
      </c>
      <c r="J502" s="4">
        <v>2</v>
      </c>
      <c r="K502" s="4">
        <v>2</v>
      </c>
      <c r="L502" s="5">
        <f>IF(F502="F",65.79,IF(F502="M",79.94,""))</f>
        <v>65.790000000000006</v>
      </c>
      <c r="M502" s="3">
        <f t="shared" si="49"/>
        <v>0</v>
      </c>
      <c r="N502" s="3" t="str">
        <f t="shared" si="50"/>
        <v>VSC-non-halitosis</v>
      </c>
      <c r="O502" s="3" t="str">
        <f t="shared" si="51"/>
        <v>Clinical- / VSC-</v>
      </c>
      <c r="P502" s="5">
        <f t="shared" si="52"/>
        <v>0.69314718055994529</v>
      </c>
      <c r="Q502" s="5">
        <f t="shared" si="53"/>
        <v>0</v>
      </c>
      <c r="R502" s="5">
        <f t="shared" si="53"/>
        <v>1.0986122886681098</v>
      </c>
      <c r="S502" s="5">
        <f t="shared" si="54"/>
        <v>1</v>
      </c>
      <c r="T502" s="3">
        <f t="shared" si="55"/>
        <v>1</v>
      </c>
      <c r="U502" s="3" t="s">
        <v>102</v>
      </c>
      <c r="V502" s="3">
        <v>1</v>
      </c>
      <c r="W502" s="6">
        <v>7.2</v>
      </c>
      <c r="X502" s="4">
        <v>8</v>
      </c>
      <c r="Y502" s="5">
        <v>0.45</v>
      </c>
      <c r="Z502" s="5">
        <v>1.2</v>
      </c>
      <c r="AA502" s="3" t="s">
        <v>80</v>
      </c>
      <c r="AB502" s="3">
        <v>0</v>
      </c>
      <c r="AC502" s="3" t="s">
        <v>113</v>
      </c>
      <c r="AD502" s="3">
        <v>0</v>
      </c>
      <c r="AE502" s="3" t="s">
        <v>82</v>
      </c>
      <c r="AF502" s="3">
        <v>1</v>
      </c>
      <c r="AG502" s="3" t="s">
        <v>82</v>
      </c>
      <c r="AH502" s="3">
        <v>1</v>
      </c>
      <c r="AI502" s="3">
        <v>1</v>
      </c>
      <c r="AJ502" s="3">
        <v>1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1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1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7" t="s">
        <v>104</v>
      </c>
      <c r="BX502" s="7" t="s">
        <v>1361</v>
      </c>
    </row>
    <row r="503" spans="1:76">
      <c r="A503" s="3" t="s">
        <v>1362</v>
      </c>
      <c r="B503" s="3">
        <v>5670</v>
      </c>
      <c r="C503" s="3" t="s">
        <v>1363</v>
      </c>
      <c r="D503" s="3">
        <v>1</v>
      </c>
      <c r="E503" s="4">
        <v>67</v>
      </c>
      <c r="F503" s="3" t="s">
        <v>87</v>
      </c>
      <c r="G503" s="3">
        <v>0</v>
      </c>
      <c r="H503" s="3">
        <v>0</v>
      </c>
      <c r="I503" s="4">
        <v>0</v>
      </c>
      <c r="J503" s="4">
        <v>1</v>
      </c>
      <c r="K503" s="4">
        <v>1</v>
      </c>
      <c r="L503" s="5">
        <f>IF(F503="F",65.79,IF(F503="M",79.94,""))</f>
        <v>65.790000000000006</v>
      </c>
      <c r="M503" s="3">
        <f t="shared" si="49"/>
        <v>0</v>
      </c>
      <c r="N503" s="3" t="str">
        <f t="shared" si="50"/>
        <v>VSC-non-halitosis</v>
      </c>
      <c r="O503" s="3" t="str">
        <f t="shared" si="51"/>
        <v>Clinical- / VSC-</v>
      </c>
      <c r="P503" s="5">
        <f t="shared" si="52"/>
        <v>0</v>
      </c>
      <c r="Q503" s="5">
        <f t="shared" si="53"/>
        <v>0</v>
      </c>
      <c r="R503" s="5">
        <f t="shared" si="53"/>
        <v>0.69314718055994529</v>
      </c>
      <c r="S503" s="5">
        <f t="shared" si="54"/>
        <v>1</v>
      </c>
      <c r="T503" s="3">
        <f t="shared" si="55"/>
        <v>1</v>
      </c>
      <c r="U503" s="3" t="s">
        <v>102</v>
      </c>
      <c r="V503" s="3">
        <v>1</v>
      </c>
      <c r="W503" s="6">
        <v>6.2</v>
      </c>
      <c r="X503" s="4">
        <v>7</v>
      </c>
      <c r="Y503" s="5">
        <v>0.25</v>
      </c>
      <c r="Z503" s="5">
        <v>3</v>
      </c>
      <c r="AA503" s="3" t="s">
        <v>80</v>
      </c>
      <c r="AB503" s="3">
        <v>0</v>
      </c>
      <c r="AC503" s="3" t="s">
        <v>81</v>
      </c>
      <c r="AD503" s="3">
        <v>0</v>
      </c>
      <c r="AE503" s="3" t="s">
        <v>82</v>
      </c>
      <c r="AF503" s="3">
        <v>1</v>
      </c>
      <c r="AG503" s="3" t="s">
        <v>82</v>
      </c>
      <c r="AH503" s="3">
        <v>1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7"/>
      <c r="BX503" s="7"/>
    </row>
    <row r="504" spans="1:76">
      <c r="A504" s="3" t="s">
        <v>1364</v>
      </c>
      <c r="B504" s="3">
        <v>5692</v>
      </c>
      <c r="C504" s="3" t="s">
        <v>1365</v>
      </c>
      <c r="D504" s="3">
        <v>1</v>
      </c>
      <c r="E504" s="4">
        <v>44</v>
      </c>
      <c r="F504" s="3" t="s">
        <v>87</v>
      </c>
      <c r="G504" s="3">
        <v>0</v>
      </c>
      <c r="H504" s="3">
        <v>0</v>
      </c>
      <c r="I504" s="4">
        <v>65</v>
      </c>
      <c r="J504" s="4">
        <v>4</v>
      </c>
      <c r="K504" s="4">
        <v>69</v>
      </c>
      <c r="L504" s="5">
        <f>IF(F504="F",65.79,IF(F504="M",79.94,""))</f>
        <v>65.790000000000006</v>
      </c>
      <c r="M504" s="3">
        <f t="shared" si="49"/>
        <v>1</v>
      </c>
      <c r="N504" s="3" t="str">
        <f t="shared" si="50"/>
        <v>VSC-halitosis</v>
      </c>
      <c r="O504" s="3" t="str">
        <f t="shared" si="51"/>
        <v>Clinical- / VSC+</v>
      </c>
      <c r="P504" s="5">
        <f t="shared" si="52"/>
        <v>4.2341065045972597</v>
      </c>
      <c r="Q504" s="5">
        <f t="shared" si="53"/>
        <v>4.1896547420264252</v>
      </c>
      <c r="R504" s="5">
        <f t="shared" si="53"/>
        <v>1.6094379124341003</v>
      </c>
      <c r="S504" s="5">
        <f t="shared" si="54"/>
        <v>5.7971014492753624E-2</v>
      </c>
      <c r="T504" s="3">
        <f t="shared" si="55"/>
        <v>0</v>
      </c>
      <c r="U504" s="3" t="s">
        <v>96</v>
      </c>
      <c r="V504" s="3">
        <v>3</v>
      </c>
      <c r="W504" s="6">
        <v>6.8</v>
      </c>
      <c r="X504" s="4">
        <v>10</v>
      </c>
      <c r="Y504" s="5">
        <v>0.5</v>
      </c>
      <c r="Z504" s="5">
        <v>2</v>
      </c>
      <c r="AA504" s="3" t="s">
        <v>80</v>
      </c>
      <c r="AB504" s="3">
        <v>0</v>
      </c>
      <c r="AC504" s="3" t="s">
        <v>113</v>
      </c>
      <c r="AD504" s="3">
        <v>0</v>
      </c>
      <c r="AE504" s="3" t="s">
        <v>98</v>
      </c>
      <c r="AF504" s="3">
        <v>0</v>
      </c>
      <c r="AG504" s="3" t="s">
        <v>98</v>
      </c>
      <c r="AH504" s="3">
        <v>0</v>
      </c>
      <c r="AI504" s="3">
        <v>2</v>
      </c>
      <c r="AJ504" s="3">
        <v>1</v>
      </c>
      <c r="AK504" s="3">
        <v>0</v>
      </c>
      <c r="AL504" s="3">
        <v>0</v>
      </c>
      <c r="AM504" s="3">
        <v>1</v>
      </c>
      <c r="AN504" s="3">
        <v>1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1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7" t="s">
        <v>1366</v>
      </c>
      <c r="BX504" s="7" t="s">
        <v>1367</v>
      </c>
    </row>
    <row r="505" spans="1:76">
      <c r="A505" s="3" t="s">
        <v>1368</v>
      </c>
      <c r="B505" s="3">
        <v>5864</v>
      </c>
      <c r="C505" s="3" t="s">
        <v>1369</v>
      </c>
      <c r="D505" s="3">
        <v>1</v>
      </c>
      <c r="E505" s="4">
        <v>38</v>
      </c>
      <c r="F505" s="3" t="s">
        <v>78</v>
      </c>
      <c r="G505" s="3">
        <v>0</v>
      </c>
      <c r="H505" s="3">
        <v>0</v>
      </c>
      <c r="I505" s="4">
        <v>12</v>
      </c>
      <c r="J505" s="4">
        <v>2</v>
      </c>
      <c r="K505" s="4">
        <v>14</v>
      </c>
      <c r="L505" s="5">
        <f>IF(F505="F",65.79,IF(F505="M",79.94,""))</f>
        <v>79.94</v>
      </c>
      <c r="M505" s="3">
        <f t="shared" si="49"/>
        <v>0</v>
      </c>
      <c r="N505" s="3" t="str">
        <f t="shared" si="50"/>
        <v>VSC-non-halitosis</v>
      </c>
      <c r="O505" s="3" t="str">
        <f t="shared" si="51"/>
        <v>Clinical- / VSC-</v>
      </c>
      <c r="P505" s="5">
        <f t="shared" si="52"/>
        <v>2.6390573296152584</v>
      </c>
      <c r="Q505" s="5">
        <f t="shared" si="53"/>
        <v>2.5649493574615367</v>
      </c>
      <c r="R505" s="5">
        <f t="shared" si="53"/>
        <v>1.0986122886681098</v>
      </c>
      <c r="S505" s="5">
        <f t="shared" si="54"/>
        <v>0.14285714285714285</v>
      </c>
      <c r="T505" s="3">
        <f t="shared" si="55"/>
        <v>0</v>
      </c>
      <c r="U505" s="3" t="s">
        <v>79</v>
      </c>
      <c r="V505" s="3">
        <v>2</v>
      </c>
      <c r="W505" s="6">
        <v>7</v>
      </c>
      <c r="X505" s="4">
        <v>12</v>
      </c>
      <c r="Y505" s="5">
        <v>1</v>
      </c>
      <c r="Z505" s="5">
        <v>2</v>
      </c>
      <c r="AA505" s="3" t="s">
        <v>108</v>
      </c>
      <c r="AB505" s="3">
        <v>1</v>
      </c>
      <c r="AC505" s="3" t="s">
        <v>81</v>
      </c>
      <c r="AD505" s="3">
        <v>0</v>
      </c>
      <c r="AE505" s="3" t="s">
        <v>98</v>
      </c>
      <c r="AF505" s="3">
        <v>0</v>
      </c>
      <c r="AG505" s="3" t="s">
        <v>82</v>
      </c>
      <c r="AH505" s="3">
        <v>1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7" t="s">
        <v>80</v>
      </c>
      <c r="BX505" s="7" t="s">
        <v>80</v>
      </c>
    </row>
    <row r="506" spans="1:76">
      <c r="A506" s="3" t="s">
        <v>1370</v>
      </c>
      <c r="B506" s="3">
        <v>5706</v>
      </c>
      <c r="C506" s="3" t="s">
        <v>1371</v>
      </c>
      <c r="D506" s="3">
        <v>1</v>
      </c>
      <c r="E506" s="4">
        <v>69</v>
      </c>
      <c r="F506" s="3" t="s">
        <v>87</v>
      </c>
      <c r="G506" s="3">
        <v>0</v>
      </c>
      <c r="H506" s="3">
        <v>0</v>
      </c>
      <c r="I506" s="4">
        <v>3</v>
      </c>
      <c r="J506" s="4">
        <v>2</v>
      </c>
      <c r="K506" s="4">
        <v>5</v>
      </c>
      <c r="L506" s="5">
        <f>IF(F506="F",65.79,IF(F506="M",79.94,""))</f>
        <v>65.790000000000006</v>
      </c>
      <c r="M506" s="3">
        <f t="shared" si="49"/>
        <v>0</v>
      </c>
      <c r="N506" s="3" t="str">
        <f t="shared" si="50"/>
        <v>VSC-non-halitosis</v>
      </c>
      <c r="O506" s="3" t="str">
        <f t="shared" si="51"/>
        <v>Clinical- / VSC-</v>
      </c>
      <c r="P506" s="5">
        <f t="shared" si="52"/>
        <v>1.6094379124341003</v>
      </c>
      <c r="Q506" s="5">
        <f t="shared" si="53"/>
        <v>1.3862943611198906</v>
      </c>
      <c r="R506" s="5">
        <f t="shared" si="53"/>
        <v>1.0986122886681098</v>
      </c>
      <c r="S506" s="5">
        <f t="shared" si="54"/>
        <v>0.4</v>
      </c>
      <c r="T506" s="3">
        <f t="shared" si="55"/>
        <v>0</v>
      </c>
      <c r="U506" s="3" t="s">
        <v>79</v>
      </c>
      <c r="V506" s="3">
        <v>2</v>
      </c>
      <c r="W506" s="6">
        <v>6.4</v>
      </c>
      <c r="X506" s="4">
        <v>10</v>
      </c>
      <c r="Y506" s="5">
        <v>0.45</v>
      </c>
      <c r="Z506" s="5">
        <v>1.8</v>
      </c>
      <c r="AA506" s="3" t="s">
        <v>80</v>
      </c>
      <c r="AB506" s="3">
        <v>0</v>
      </c>
      <c r="AC506" s="3" t="s">
        <v>81</v>
      </c>
      <c r="AD506" s="3">
        <v>0</v>
      </c>
      <c r="AE506" s="3" t="s">
        <v>82</v>
      </c>
      <c r="AF506" s="3">
        <v>1</v>
      </c>
      <c r="AG506" s="3" t="s">
        <v>82</v>
      </c>
      <c r="AH506" s="3">
        <v>1</v>
      </c>
      <c r="AI506" s="3">
        <v>1</v>
      </c>
      <c r="AJ506" s="3">
        <v>0</v>
      </c>
      <c r="AK506" s="3">
        <v>0</v>
      </c>
      <c r="AL506" s="3">
        <v>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7" t="s">
        <v>186</v>
      </c>
      <c r="BX506" s="7"/>
    </row>
    <row r="507" spans="1:76">
      <c r="A507" s="3" t="s">
        <v>1372</v>
      </c>
      <c r="B507" s="3">
        <v>5725</v>
      </c>
      <c r="C507" s="3" t="s">
        <v>1373</v>
      </c>
      <c r="D507" s="3">
        <v>1</v>
      </c>
      <c r="E507" s="4">
        <v>41</v>
      </c>
      <c r="F507" s="3" t="s">
        <v>87</v>
      </c>
      <c r="G507" s="3">
        <v>0</v>
      </c>
      <c r="H507" s="3">
        <v>0</v>
      </c>
      <c r="I507" s="4">
        <v>4</v>
      </c>
      <c r="J507" s="4">
        <v>0</v>
      </c>
      <c r="K507" s="4">
        <v>4</v>
      </c>
      <c r="L507" s="5">
        <f>IF(F507="F",65.79,IF(F507="M",79.94,""))</f>
        <v>65.790000000000006</v>
      </c>
      <c r="M507" s="3">
        <f t="shared" si="49"/>
        <v>0</v>
      </c>
      <c r="N507" s="3" t="str">
        <f t="shared" si="50"/>
        <v>VSC-non-halitosis</v>
      </c>
      <c r="O507" s="3" t="str">
        <f t="shared" si="51"/>
        <v>Clinical- / VSC-</v>
      </c>
      <c r="P507" s="5">
        <f t="shared" si="52"/>
        <v>1.3862943611198906</v>
      </c>
      <c r="Q507" s="5">
        <f t="shared" si="53"/>
        <v>1.6094379124341003</v>
      </c>
      <c r="R507" s="5">
        <f t="shared" si="53"/>
        <v>0</v>
      </c>
      <c r="S507" s="5">
        <f t="shared" si="54"/>
        <v>0</v>
      </c>
      <c r="T507" s="3">
        <f t="shared" si="55"/>
        <v>0</v>
      </c>
      <c r="U507" s="3" t="s">
        <v>79</v>
      </c>
      <c r="V507" s="3">
        <v>2</v>
      </c>
      <c r="W507" s="6">
        <v>5.8</v>
      </c>
      <c r="X507" s="4">
        <v>12</v>
      </c>
      <c r="Y507" s="5">
        <v>0.25</v>
      </c>
      <c r="Z507" s="5">
        <v>1</v>
      </c>
      <c r="AA507" s="3" t="s">
        <v>80</v>
      </c>
      <c r="AB507" s="3">
        <v>0</v>
      </c>
      <c r="AC507" s="3" t="s">
        <v>113</v>
      </c>
      <c r="AD507" s="3">
        <v>0</v>
      </c>
      <c r="AE507" s="3" t="s">
        <v>98</v>
      </c>
      <c r="AF507" s="3">
        <v>0</v>
      </c>
      <c r="AG507" s="3" t="s">
        <v>98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7"/>
      <c r="BX507" s="7"/>
    </row>
    <row r="508" spans="1:76">
      <c r="A508" s="3" t="s">
        <v>1374</v>
      </c>
      <c r="B508" s="3">
        <v>5747</v>
      </c>
      <c r="C508" s="3" t="s">
        <v>1375</v>
      </c>
      <c r="D508" s="3">
        <v>1</v>
      </c>
      <c r="E508" s="4">
        <v>66</v>
      </c>
      <c r="F508" s="3" t="s">
        <v>78</v>
      </c>
      <c r="G508" s="3">
        <v>0</v>
      </c>
      <c r="H508" s="3">
        <v>0</v>
      </c>
      <c r="I508" s="4">
        <v>2</v>
      </c>
      <c r="J508" s="4">
        <v>1</v>
      </c>
      <c r="K508" s="4">
        <v>3</v>
      </c>
      <c r="L508" s="5">
        <f>IF(F508="F",65.79,IF(F508="M",79.94,""))</f>
        <v>79.94</v>
      </c>
      <c r="M508" s="3">
        <f t="shared" si="49"/>
        <v>0</v>
      </c>
      <c r="N508" s="3" t="str">
        <f t="shared" si="50"/>
        <v>VSC-non-halitosis</v>
      </c>
      <c r="O508" s="3" t="str">
        <f t="shared" si="51"/>
        <v>Clinical- / VSC-</v>
      </c>
      <c r="P508" s="5">
        <f t="shared" si="52"/>
        <v>1.0986122886681098</v>
      </c>
      <c r="Q508" s="5">
        <f t="shared" si="53"/>
        <v>1.0986122886681098</v>
      </c>
      <c r="R508" s="5">
        <f t="shared" si="53"/>
        <v>0.69314718055994529</v>
      </c>
      <c r="S508" s="5">
        <f t="shared" si="54"/>
        <v>0.33333333333333331</v>
      </c>
      <c r="T508" s="3">
        <f t="shared" si="55"/>
        <v>0</v>
      </c>
      <c r="U508" s="3" t="s">
        <v>102</v>
      </c>
      <c r="V508" s="3">
        <v>1</v>
      </c>
      <c r="W508" s="6">
        <v>6.4</v>
      </c>
      <c r="X508" s="4">
        <v>12</v>
      </c>
      <c r="Y508" s="5">
        <v>0.45</v>
      </c>
      <c r="Z508" s="5">
        <v>1</v>
      </c>
      <c r="AA508" s="3" t="s">
        <v>80</v>
      </c>
      <c r="AB508" s="3">
        <v>0</v>
      </c>
      <c r="AC508" s="3" t="s">
        <v>113</v>
      </c>
      <c r="AD508" s="3">
        <v>0</v>
      </c>
      <c r="AE508" s="3" t="s">
        <v>98</v>
      </c>
      <c r="AF508" s="3">
        <v>0</v>
      </c>
      <c r="AG508" s="3" t="s">
        <v>82</v>
      </c>
      <c r="AH508" s="3">
        <v>1</v>
      </c>
      <c r="AI508" s="3">
        <v>5</v>
      </c>
      <c r="AJ508" s="3">
        <v>2</v>
      </c>
      <c r="AK508" s="3">
        <v>1</v>
      </c>
      <c r="AL508" s="3">
        <v>1</v>
      </c>
      <c r="AM508" s="3">
        <v>1</v>
      </c>
      <c r="AN508" s="3">
        <v>1</v>
      </c>
      <c r="AO508" s="3">
        <v>0</v>
      </c>
      <c r="AP508" s="3">
        <v>0</v>
      </c>
      <c r="AQ508" s="3">
        <v>0</v>
      </c>
      <c r="AR508" s="3">
        <v>1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1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1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1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7" t="s">
        <v>1376</v>
      </c>
      <c r="BX508" s="7" t="s">
        <v>1377</v>
      </c>
    </row>
    <row r="509" spans="1:76">
      <c r="A509" s="3" t="s">
        <v>1378</v>
      </c>
      <c r="B509" s="3">
        <v>5748</v>
      </c>
      <c r="C509" s="3" t="s">
        <v>1379</v>
      </c>
      <c r="D509" s="3">
        <v>1</v>
      </c>
      <c r="E509" s="4">
        <v>82</v>
      </c>
      <c r="F509" s="3" t="s">
        <v>87</v>
      </c>
      <c r="G509" s="3">
        <v>0</v>
      </c>
      <c r="H509" s="3">
        <v>1</v>
      </c>
      <c r="I509" s="4">
        <v>0</v>
      </c>
      <c r="J509" s="4">
        <v>2</v>
      </c>
      <c r="K509" s="4">
        <v>2</v>
      </c>
      <c r="L509" s="5">
        <f>IF(F509="F",65.79,IF(F509="M",79.94,""))</f>
        <v>65.790000000000006</v>
      </c>
      <c r="M509" s="3">
        <f t="shared" si="49"/>
        <v>0</v>
      </c>
      <c r="N509" s="3" t="str">
        <f t="shared" si="50"/>
        <v>VSC-non-halitosis</v>
      </c>
      <c r="O509" s="3" t="str">
        <f t="shared" si="51"/>
        <v>Clinical- / VSC-</v>
      </c>
      <c r="P509" s="5">
        <f t="shared" si="52"/>
        <v>0.69314718055994529</v>
      </c>
      <c r="Q509" s="5">
        <f t="shared" si="53"/>
        <v>0</v>
      </c>
      <c r="R509" s="5">
        <f t="shared" si="53"/>
        <v>1.0986122886681098</v>
      </c>
      <c r="S509" s="5">
        <f t="shared" si="54"/>
        <v>1</v>
      </c>
      <c r="T509" s="3">
        <f t="shared" si="55"/>
        <v>1</v>
      </c>
      <c r="U509" s="3" t="s">
        <v>102</v>
      </c>
      <c r="V509" s="3">
        <v>1</v>
      </c>
      <c r="W509" s="6">
        <v>6</v>
      </c>
      <c r="X509" s="4">
        <v>8</v>
      </c>
      <c r="Y509" s="5">
        <v>0.1</v>
      </c>
      <c r="Z509" s="5">
        <v>1.5</v>
      </c>
      <c r="AA509" s="3" t="s">
        <v>108</v>
      </c>
      <c r="AB509" s="3">
        <v>1</v>
      </c>
      <c r="AC509" s="3" t="s">
        <v>138</v>
      </c>
      <c r="AD509" s="3">
        <v>1</v>
      </c>
      <c r="AE509" s="3" t="s">
        <v>103</v>
      </c>
      <c r="AF509" s="3">
        <v>1</v>
      </c>
      <c r="AG509" s="3" t="s">
        <v>82</v>
      </c>
      <c r="AH509" s="3">
        <v>1</v>
      </c>
      <c r="AI509" s="3">
        <v>1</v>
      </c>
      <c r="AJ509" s="3">
        <v>1</v>
      </c>
      <c r="AK509" s="3">
        <v>0</v>
      </c>
      <c r="AL509" s="3">
        <v>0</v>
      </c>
      <c r="AM509" s="3">
        <v>1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1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7" t="s">
        <v>219</v>
      </c>
      <c r="BX509" s="7" t="s">
        <v>695</v>
      </c>
    </row>
    <row r="510" spans="1:76">
      <c r="A510" s="3" t="s">
        <v>1380</v>
      </c>
      <c r="B510" s="3">
        <v>5755</v>
      </c>
      <c r="C510" s="3" t="s">
        <v>1381</v>
      </c>
      <c r="D510" s="3">
        <v>1</v>
      </c>
      <c r="E510" s="4">
        <v>71</v>
      </c>
      <c r="F510" s="3" t="s">
        <v>87</v>
      </c>
      <c r="G510" s="3">
        <v>0</v>
      </c>
      <c r="H510" s="3">
        <v>0</v>
      </c>
      <c r="I510" s="4">
        <v>47</v>
      </c>
      <c r="J510" s="4">
        <v>5</v>
      </c>
      <c r="K510" s="4">
        <v>52</v>
      </c>
      <c r="L510" s="5">
        <f>IF(F510="F",65.79,IF(F510="M",79.94,""))</f>
        <v>65.790000000000006</v>
      </c>
      <c r="M510" s="3">
        <f t="shared" si="49"/>
        <v>0</v>
      </c>
      <c r="N510" s="3" t="str">
        <f t="shared" si="50"/>
        <v>VSC-non-halitosis</v>
      </c>
      <c r="O510" s="3" t="str">
        <f t="shared" si="51"/>
        <v>Clinical- / VSC-</v>
      </c>
      <c r="P510" s="5">
        <f t="shared" si="52"/>
        <v>3.9512437185814275</v>
      </c>
      <c r="Q510" s="5">
        <f t="shared" si="53"/>
        <v>3.8712010109078911</v>
      </c>
      <c r="R510" s="5">
        <f t="shared" si="53"/>
        <v>1.791759469228055</v>
      </c>
      <c r="S510" s="5">
        <f t="shared" si="54"/>
        <v>9.6153846153846159E-2</v>
      </c>
      <c r="T510" s="3">
        <f t="shared" si="55"/>
        <v>0</v>
      </c>
      <c r="U510" s="3" t="s">
        <v>96</v>
      </c>
      <c r="V510" s="3">
        <v>3</v>
      </c>
      <c r="W510" s="6">
        <v>6.8</v>
      </c>
      <c r="X510" s="4">
        <v>8</v>
      </c>
      <c r="Y510" s="5">
        <v>0.4</v>
      </c>
      <c r="Z510" s="5">
        <v>1.2</v>
      </c>
      <c r="AA510" s="3" t="s">
        <v>80</v>
      </c>
      <c r="AB510" s="3">
        <v>0</v>
      </c>
      <c r="AC510" s="3" t="s">
        <v>113</v>
      </c>
      <c r="AD510" s="3">
        <v>0</v>
      </c>
      <c r="AE510" s="3" t="s">
        <v>98</v>
      </c>
      <c r="AF510" s="3">
        <v>0</v>
      </c>
      <c r="AG510" s="3" t="s">
        <v>98</v>
      </c>
      <c r="AH510" s="3">
        <v>0</v>
      </c>
      <c r="AI510" s="3">
        <v>6</v>
      </c>
      <c r="AJ510" s="3">
        <v>2</v>
      </c>
      <c r="AK510" s="3">
        <v>1</v>
      </c>
      <c r="AL510" s="3">
        <v>1</v>
      </c>
      <c r="AM510" s="3">
        <v>1</v>
      </c>
      <c r="AN510" s="3">
        <v>1</v>
      </c>
      <c r="AO510" s="3">
        <v>0</v>
      </c>
      <c r="AP510" s="3">
        <v>1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1</v>
      </c>
      <c r="BC510" s="3">
        <v>0</v>
      </c>
      <c r="BD510" s="3">
        <v>0</v>
      </c>
      <c r="BE510" s="3">
        <v>1</v>
      </c>
      <c r="BF510" s="3">
        <v>1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1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7" t="s">
        <v>1382</v>
      </c>
      <c r="BX510" s="7" t="s">
        <v>1383</v>
      </c>
    </row>
    <row r="511" spans="1:76">
      <c r="A511" s="3" t="s">
        <v>1384</v>
      </c>
      <c r="B511" s="3">
        <v>5766</v>
      </c>
      <c r="C511" s="3" t="s">
        <v>1385</v>
      </c>
      <c r="D511" s="3">
        <v>1</v>
      </c>
      <c r="E511" s="4">
        <v>53</v>
      </c>
      <c r="F511" s="3" t="s">
        <v>87</v>
      </c>
      <c r="G511" s="3">
        <v>0</v>
      </c>
      <c r="H511" s="3">
        <v>0</v>
      </c>
      <c r="I511" s="4">
        <v>1</v>
      </c>
      <c r="J511" s="4">
        <v>0</v>
      </c>
      <c r="K511" s="4">
        <v>1</v>
      </c>
      <c r="L511" s="5">
        <f>IF(F511="F",65.79,IF(F511="M",79.94,""))</f>
        <v>65.790000000000006</v>
      </c>
      <c r="M511" s="3">
        <f t="shared" si="49"/>
        <v>0</v>
      </c>
      <c r="N511" s="3" t="str">
        <f t="shared" si="50"/>
        <v>VSC-non-halitosis</v>
      </c>
      <c r="O511" s="3" t="str">
        <f t="shared" si="51"/>
        <v>Clinical- / VSC-</v>
      </c>
      <c r="P511" s="5">
        <f t="shared" si="52"/>
        <v>0</v>
      </c>
      <c r="Q511" s="5">
        <f t="shared" si="53"/>
        <v>0.69314718055994529</v>
      </c>
      <c r="R511" s="5">
        <f t="shared" si="53"/>
        <v>0</v>
      </c>
      <c r="S511" s="5">
        <f t="shared" si="54"/>
        <v>0</v>
      </c>
      <c r="T511" s="3">
        <f t="shared" si="55"/>
        <v>0</v>
      </c>
      <c r="U511" s="3" t="s">
        <v>102</v>
      </c>
      <c r="V511" s="3">
        <v>1</v>
      </c>
      <c r="W511" s="6">
        <v>6.8</v>
      </c>
      <c r="X511" s="4">
        <v>12</v>
      </c>
      <c r="Y511" s="5">
        <v>0.5</v>
      </c>
      <c r="Z511" s="5">
        <v>1.1000000000000001</v>
      </c>
      <c r="AA511" s="3" t="s">
        <v>80</v>
      </c>
      <c r="AB511" s="3">
        <v>0</v>
      </c>
      <c r="AC511" s="3" t="s">
        <v>81</v>
      </c>
      <c r="AD511" s="3">
        <v>0</v>
      </c>
      <c r="AE511" s="3" t="s">
        <v>98</v>
      </c>
      <c r="AF511" s="3">
        <v>0</v>
      </c>
      <c r="AG511" s="3" t="s">
        <v>98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7"/>
      <c r="BX511" s="7" t="s">
        <v>1386</v>
      </c>
    </row>
    <row r="512" spans="1:76">
      <c r="A512" s="3" t="s">
        <v>1387</v>
      </c>
      <c r="B512" s="3">
        <v>5781</v>
      </c>
      <c r="C512" s="3" t="s">
        <v>1388</v>
      </c>
      <c r="D512" s="3">
        <v>2</v>
      </c>
      <c r="E512" s="4">
        <v>57</v>
      </c>
      <c r="F512" s="3" t="s">
        <v>87</v>
      </c>
      <c r="G512" s="3">
        <v>1</v>
      </c>
      <c r="H512" s="3">
        <v>0</v>
      </c>
      <c r="I512" s="4">
        <v>3</v>
      </c>
      <c r="J512" s="4">
        <v>2</v>
      </c>
      <c r="K512" s="4">
        <v>5</v>
      </c>
      <c r="L512" s="5">
        <f>IF(F512="F",65.79,IF(F512="M",79.94,""))</f>
        <v>65.790000000000006</v>
      </c>
      <c r="M512" s="3">
        <f t="shared" si="49"/>
        <v>0</v>
      </c>
      <c r="N512" s="3" t="str">
        <f t="shared" si="50"/>
        <v>VSC-non-halitosis</v>
      </c>
      <c r="O512" s="3" t="str">
        <f t="shared" si="51"/>
        <v>Clinical+ / VSC-</v>
      </c>
      <c r="P512" s="5">
        <f t="shared" si="52"/>
        <v>1.6094379124341003</v>
      </c>
      <c r="Q512" s="5">
        <f t="shared" si="53"/>
        <v>1.3862943611198906</v>
      </c>
      <c r="R512" s="5">
        <f t="shared" si="53"/>
        <v>1.0986122886681098</v>
      </c>
      <c r="S512" s="5">
        <f t="shared" si="54"/>
        <v>0.4</v>
      </c>
      <c r="T512" s="3">
        <f t="shared" si="55"/>
        <v>0</v>
      </c>
      <c r="U512" s="3" t="s">
        <v>79</v>
      </c>
      <c r="V512" s="3">
        <v>2</v>
      </c>
      <c r="W512" s="6">
        <v>6.6</v>
      </c>
      <c r="X512" s="4">
        <v>12</v>
      </c>
      <c r="Y512" s="5">
        <v>0.5</v>
      </c>
      <c r="Z512" s="5">
        <v>1.1000000000000001</v>
      </c>
      <c r="AA512" s="3" t="s">
        <v>108</v>
      </c>
      <c r="AB512" s="3">
        <v>1</v>
      </c>
      <c r="AC512" s="3" t="s">
        <v>113</v>
      </c>
      <c r="AD512" s="3">
        <v>0</v>
      </c>
      <c r="AE512" s="3" t="s">
        <v>98</v>
      </c>
      <c r="AF512" s="3">
        <v>0</v>
      </c>
      <c r="AG512" s="3" t="s">
        <v>98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7"/>
      <c r="BX512" s="7" t="s">
        <v>1389</v>
      </c>
    </row>
    <row r="513" spans="1:76">
      <c r="A513" s="3" t="s">
        <v>1390</v>
      </c>
      <c r="B513" s="3">
        <v>5781</v>
      </c>
      <c r="C513" s="3" t="s">
        <v>1388</v>
      </c>
      <c r="D513" s="3">
        <v>2</v>
      </c>
      <c r="E513" s="4">
        <v>57</v>
      </c>
      <c r="F513" s="3" t="s">
        <v>87</v>
      </c>
      <c r="G513" s="3">
        <v>1</v>
      </c>
      <c r="H513" s="3">
        <v>0</v>
      </c>
      <c r="I513" s="4">
        <v>53</v>
      </c>
      <c r="J513" s="4">
        <v>8</v>
      </c>
      <c r="K513" s="4">
        <v>61</v>
      </c>
      <c r="L513" s="5">
        <f>IF(F513="F",65.79,IF(F513="M",79.94,""))</f>
        <v>65.790000000000006</v>
      </c>
      <c r="M513" s="3">
        <f t="shared" si="49"/>
        <v>0</v>
      </c>
      <c r="N513" s="3" t="str">
        <f t="shared" si="50"/>
        <v>VSC-non-halitosis</v>
      </c>
      <c r="O513" s="3" t="str">
        <f t="shared" si="51"/>
        <v>Clinical+ / VSC-</v>
      </c>
      <c r="P513" s="5">
        <f t="shared" si="52"/>
        <v>4.1108738641733114</v>
      </c>
      <c r="Q513" s="5">
        <f t="shared" si="53"/>
        <v>3.9889840465642745</v>
      </c>
      <c r="R513" s="5">
        <f t="shared" si="53"/>
        <v>2.1972245773362196</v>
      </c>
      <c r="S513" s="5">
        <f t="shared" si="54"/>
        <v>0.13114754098360656</v>
      </c>
      <c r="T513" s="3">
        <f t="shared" si="55"/>
        <v>0</v>
      </c>
      <c r="U513" s="3" t="s">
        <v>96</v>
      </c>
      <c r="V513" s="3">
        <v>3</v>
      </c>
      <c r="W513" s="6">
        <v>6.6</v>
      </c>
      <c r="X513" s="4">
        <v>12</v>
      </c>
      <c r="Y513" s="5">
        <v>0.5</v>
      </c>
      <c r="Z513" s="5">
        <v>1.1000000000000001</v>
      </c>
      <c r="AA513" s="3" t="s">
        <v>108</v>
      </c>
      <c r="AB513" s="3">
        <v>1</v>
      </c>
      <c r="AC513" s="3" t="s">
        <v>113</v>
      </c>
      <c r="AD513" s="3">
        <v>0</v>
      </c>
      <c r="AE513" s="3" t="s">
        <v>98</v>
      </c>
      <c r="AF513" s="3">
        <v>0</v>
      </c>
      <c r="AG513" s="3" t="s">
        <v>98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7"/>
      <c r="BX513" s="7" t="s">
        <v>1389</v>
      </c>
    </row>
    <row r="514" spans="1:76">
      <c r="A514" s="3" t="s">
        <v>1391</v>
      </c>
      <c r="B514" s="3">
        <v>5804</v>
      </c>
      <c r="C514" s="3" t="s">
        <v>1392</v>
      </c>
      <c r="D514" s="3">
        <v>1</v>
      </c>
      <c r="E514" s="4">
        <v>71</v>
      </c>
      <c r="F514" s="3" t="s">
        <v>87</v>
      </c>
      <c r="G514" s="3">
        <v>0</v>
      </c>
      <c r="H514" s="3">
        <v>0</v>
      </c>
      <c r="I514" s="4">
        <v>0</v>
      </c>
      <c r="J514" s="4">
        <v>1</v>
      </c>
      <c r="K514" s="4">
        <v>1</v>
      </c>
      <c r="L514" s="5">
        <f>IF(F514="F",65.79,IF(F514="M",79.94,""))</f>
        <v>65.790000000000006</v>
      </c>
      <c r="M514" s="3">
        <f t="shared" ref="M514:M577" si="56">IF(AND(ISNUMBER(K514),ISNUMBER(L514),K514&gt;=L514),1,0)</f>
        <v>0</v>
      </c>
      <c r="N514" s="3" t="str">
        <f t="shared" ref="N514:N577" si="57">IF(M514=1,"VSC-halitosis","VSC-non-halitosis")</f>
        <v>VSC-non-halitosis</v>
      </c>
      <c r="O514" s="3" t="str">
        <f t="shared" ref="O514:O580" si="58">IF(AND(G514=1,M514=1),"Clinical+ / VSC+",IF(AND(G514=1,M514=0),"Clinical+ / VSC-",IF(AND(G514=0,M514=1),"Clinical- / VSC+","Clinical- / VSC-")))</f>
        <v>Clinical- / VSC-</v>
      </c>
      <c r="P514" s="5">
        <f t="shared" ref="P514:P580" si="59">IF(K514&gt;0,LN(K514),"")</f>
        <v>0</v>
      </c>
      <c r="Q514" s="5">
        <f t="shared" ref="Q514:R580" si="60">IF(ISNUMBER(I514),LN(I514+1),"")</f>
        <v>0</v>
      </c>
      <c r="R514" s="5">
        <f t="shared" si="60"/>
        <v>0.69314718055994529</v>
      </c>
      <c r="S514" s="5">
        <f t="shared" ref="S514:S580" si="61">IF(K514&gt;0,J514/K514,"")</f>
        <v>1</v>
      </c>
      <c r="T514" s="3">
        <f t="shared" ref="T514:T580" si="62">IF(J514&gt;I514,1,0)</f>
        <v>1</v>
      </c>
      <c r="U514" s="3" t="s">
        <v>102</v>
      </c>
      <c r="V514" s="3">
        <v>1</v>
      </c>
      <c r="W514" s="6">
        <v>6.8</v>
      </c>
      <c r="X514" s="4">
        <v>12</v>
      </c>
      <c r="Y514" s="5">
        <v>0.15</v>
      </c>
      <c r="Z514" s="5">
        <v>1.5</v>
      </c>
      <c r="AA514" s="3" t="s">
        <v>80</v>
      </c>
      <c r="AB514" s="3">
        <v>0</v>
      </c>
      <c r="AC514" s="3" t="s">
        <v>81</v>
      </c>
      <c r="AD514" s="3">
        <v>0</v>
      </c>
      <c r="AE514" s="3" t="s">
        <v>98</v>
      </c>
      <c r="AF514" s="3">
        <v>0</v>
      </c>
      <c r="AG514" s="3" t="s">
        <v>82</v>
      </c>
      <c r="AH514" s="3">
        <v>1</v>
      </c>
      <c r="AI514" s="3">
        <v>2</v>
      </c>
      <c r="AJ514" s="3">
        <v>0</v>
      </c>
      <c r="AK514" s="3">
        <v>0</v>
      </c>
      <c r="AL514" s="3">
        <v>0</v>
      </c>
      <c r="AM514" s="3">
        <v>1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1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7" t="s">
        <v>1393</v>
      </c>
      <c r="BX514" s="7"/>
    </row>
    <row r="515" spans="1:76">
      <c r="A515" s="3" t="s">
        <v>1394</v>
      </c>
      <c r="B515" s="3">
        <v>5806</v>
      </c>
      <c r="C515" s="3" t="s">
        <v>1395</v>
      </c>
      <c r="D515" s="3">
        <v>1</v>
      </c>
      <c r="E515" s="4">
        <v>55</v>
      </c>
      <c r="F515" s="3" t="s">
        <v>87</v>
      </c>
      <c r="G515" s="3">
        <v>0</v>
      </c>
      <c r="H515" s="3">
        <v>0</v>
      </c>
      <c r="I515" s="4">
        <v>6</v>
      </c>
      <c r="J515" s="4">
        <v>2</v>
      </c>
      <c r="K515" s="4">
        <v>8</v>
      </c>
      <c r="L515" s="5">
        <f>IF(F515="F",65.79,IF(F515="M",79.94,""))</f>
        <v>65.790000000000006</v>
      </c>
      <c r="M515" s="3">
        <f t="shared" si="56"/>
        <v>0</v>
      </c>
      <c r="N515" s="3" t="str">
        <f t="shared" si="57"/>
        <v>VSC-non-halitosis</v>
      </c>
      <c r="O515" s="3" t="str">
        <f t="shared" si="58"/>
        <v>Clinical- / VSC-</v>
      </c>
      <c r="P515" s="5">
        <f t="shared" si="59"/>
        <v>2.0794415416798357</v>
      </c>
      <c r="Q515" s="5">
        <f t="shared" si="60"/>
        <v>1.9459101490553132</v>
      </c>
      <c r="R515" s="5">
        <f t="shared" si="60"/>
        <v>1.0986122886681098</v>
      </c>
      <c r="S515" s="5">
        <f t="shared" si="61"/>
        <v>0.25</v>
      </c>
      <c r="T515" s="3">
        <f t="shared" si="62"/>
        <v>0</v>
      </c>
      <c r="U515" s="3" t="s">
        <v>79</v>
      </c>
      <c r="V515" s="3">
        <v>2</v>
      </c>
      <c r="W515" s="6">
        <v>0.2</v>
      </c>
      <c r="X515" s="4">
        <v>12</v>
      </c>
      <c r="Y515" s="5">
        <v>0.25</v>
      </c>
      <c r="Z515" s="5">
        <v>1</v>
      </c>
      <c r="AA515" s="3" t="s">
        <v>80</v>
      </c>
      <c r="AB515" s="3">
        <v>0</v>
      </c>
      <c r="AC515" s="3" t="s">
        <v>81</v>
      </c>
      <c r="AD515" s="3">
        <v>0</v>
      </c>
      <c r="AE515" s="3" t="s">
        <v>82</v>
      </c>
      <c r="AF515" s="3">
        <v>1</v>
      </c>
      <c r="AG515" s="3" t="s">
        <v>82</v>
      </c>
      <c r="AH515" s="3">
        <v>1</v>
      </c>
      <c r="AI515" s="3">
        <v>2</v>
      </c>
      <c r="AJ515" s="3">
        <v>1</v>
      </c>
      <c r="AK515" s="3">
        <v>0</v>
      </c>
      <c r="AL515" s="3">
        <v>1</v>
      </c>
      <c r="AM515" s="3">
        <v>0</v>
      </c>
      <c r="AN515" s="3">
        <v>1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1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7" t="s">
        <v>186</v>
      </c>
      <c r="BX515" s="7" t="s">
        <v>337</v>
      </c>
    </row>
    <row r="516" spans="1:76">
      <c r="A516" s="3" t="s">
        <v>1396</v>
      </c>
      <c r="B516" s="3">
        <v>5818</v>
      </c>
      <c r="C516" s="3" t="s">
        <v>1397</v>
      </c>
      <c r="D516" s="3">
        <v>1</v>
      </c>
      <c r="E516" s="4">
        <v>50</v>
      </c>
      <c r="F516" s="3" t="s">
        <v>87</v>
      </c>
      <c r="G516" s="3">
        <v>0</v>
      </c>
      <c r="H516" s="3">
        <v>1</v>
      </c>
      <c r="I516" s="4">
        <v>0</v>
      </c>
      <c r="J516" s="4">
        <v>1</v>
      </c>
      <c r="K516" s="4">
        <v>1</v>
      </c>
      <c r="L516" s="5">
        <f>IF(F516="F",65.79,IF(F516="M",79.94,""))</f>
        <v>65.790000000000006</v>
      </c>
      <c r="M516" s="3">
        <f t="shared" si="56"/>
        <v>0</v>
      </c>
      <c r="N516" s="3" t="str">
        <f t="shared" si="57"/>
        <v>VSC-non-halitosis</v>
      </c>
      <c r="O516" s="3" t="str">
        <f t="shared" si="58"/>
        <v>Clinical- / VSC-</v>
      </c>
      <c r="P516" s="5">
        <f t="shared" si="59"/>
        <v>0</v>
      </c>
      <c r="Q516" s="5">
        <f t="shared" si="60"/>
        <v>0</v>
      </c>
      <c r="R516" s="5">
        <f t="shared" si="60"/>
        <v>0.69314718055994529</v>
      </c>
      <c r="S516" s="5">
        <f t="shared" si="61"/>
        <v>1</v>
      </c>
      <c r="T516" s="3">
        <f t="shared" si="62"/>
        <v>1</v>
      </c>
      <c r="U516" s="3" t="s">
        <v>102</v>
      </c>
      <c r="V516" s="3">
        <v>1</v>
      </c>
      <c r="W516" s="6">
        <v>6</v>
      </c>
      <c r="X516" s="4">
        <v>12</v>
      </c>
      <c r="Y516" s="5">
        <v>0.4</v>
      </c>
      <c r="Z516" s="5">
        <v>1</v>
      </c>
      <c r="AA516" s="3" t="s">
        <v>108</v>
      </c>
      <c r="AB516" s="3">
        <v>1</v>
      </c>
      <c r="AC516" s="3" t="s">
        <v>81</v>
      </c>
      <c r="AD516" s="3">
        <v>0</v>
      </c>
      <c r="AE516" s="3" t="s">
        <v>98</v>
      </c>
      <c r="AF516" s="3">
        <v>0</v>
      </c>
      <c r="AG516" s="3" t="s">
        <v>98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7"/>
      <c r="BX516" s="7"/>
    </row>
    <row r="517" spans="1:76" ht="34">
      <c r="A517" s="3" t="s">
        <v>1398</v>
      </c>
      <c r="B517" s="3">
        <v>6481</v>
      </c>
      <c r="C517" s="3" t="s">
        <v>1399</v>
      </c>
      <c r="D517" s="3">
        <v>1</v>
      </c>
      <c r="E517" s="4">
        <v>73</v>
      </c>
      <c r="F517" s="3" t="s">
        <v>87</v>
      </c>
      <c r="G517" s="3">
        <v>0</v>
      </c>
      <c r="H517" s="3">
        <v>0</v>
      </c>
      <c r="I517" s="4">
        <v>4</v>
      </c>
      <c r="J517" s="4">
        <v>1</v>
      </c>
      <c r="K517" s="4">
        <v>5</v>
      </c>
      <c r="L517" s="5">
        <f>IF(F517="F",65.79,IF(F517="M",79.94,""))</f>
        <v>65.790000000000006</v>
      </c>
      <c r="M517" s="3">
        <f t="shared" si="56"/>
        <v>0</v>
      </c>
      <c r="N517" s="3" t="str">
        <f t="shared" si="57"/>
        <v>VSC-non-halitosis</v>
      </c>
      <c r="O517" s="3" t="str">
        <f t="shared" si="58"/>
        <v>Clinical- / VSC-</v>
      </c>
      <c r="P517" s="5">
        <f t="shared" si="59"/>
        <v>1.6094379124341003</v>
      </c>
      <c r="Q517" s="5">
        <f t="shared" si="60"/>
        <v>1.6094379124341003</v>
      </c>
      <c r="R517" s="5">
        <f t="shared" si="60"/>
        <v>0.69314718055994529</v>
      </c>
      <c r="S517" s="5">
        <f t="shared" si="61"/>
        <v>0.2</v>
      </c>
      <c r="T517" s="3">
        <f t="shared" si="62"/>
        <v>0</v>
      </c>
      <c r="U517" s="3" t="s">
        <v>79</v>
      </c>
      <c r="V517" s="3">
        <v>2</v>
      </c>
      <c r="W517" s="6">
        <v>7.4</v>
      </c>
      <c r="X517" s="4">
        <v>9</v>
      </c>
      <c r="Y517" s="5">
        <v>0.45</v>
      </c>
      <c r="Z517" s="5">
        <v>1.2</v>
      </c>
      <c r="AA517" s="3" t="s">
        <v>80</v>
      </c>
      <c r="AB517" s="3">
        <v>0</v>
      </c>
      <c r="AC517" s="3" t="s">
        <v>81</v>
      </c>
      <c r="AD517" s="3">
        <v>0</v>
      </c>
      <c r="AE517" s="3" t="s">
        <v>82</v>
      </c>
      <c r="AF517" s="3">
        <v>1</v>
      </c>
      <c r="AG517" s="3" t="s">
        <v>98</v>
      </c>
      <c r="AH517" s="3">
        <v>0</v>
      </c>
      <c r="AI517" s="3">
        <v>2</v>
      </c>
      <c r="AJ517" s="3">
        <v>2</v>
      </c>
      <c r="AK517" s="3">
        <v>1</v>
      </c>
      <c r="AL517" s="3">
        <v>1</v>
      </c>
      <c r="AM517" s="3">
        <v>0</v>
      </c>
      <c r="AN517" s="3">
        <v>0</v>
      </c>
      <c r="AO517" s="3">
        <v>0</v>
      </c>
      <c r="AP517" s="3">
        <v>0</v>
      </c>
      <c r="AQ517" s="3">
        <v>1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1</v>
      </c>
      <c r="BH517" s="3">
        <v>1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7" t="s">
        <v>1400</v>
      </c>
      <c r="BX517" s="7" t="s">
        <v>80</v>
      </c>
    </row>
    <row r="518" spans="1:76">
      <c r="A518" s="3" t="s">
        <v>1401</v>
      </c>
      <c r="B518" s="3">
        <v>5835</v>
      </c>
      <c r="C518" s="3" t="s">
        <v>1402</v>
      </c>
      <c r="D518" s="3">
        <v>1</v>
      </c>
      <c r="E518" s="4">
        <v>15</v>
      </c>
      <c r="F518" s="3" t="s">
        <v>87</v>
      </c>
      <c r="G518" s="3">
        <v>0</v>
      </c>
      <c r="H518" s="3">
        <v>0</v>
      </c>
      <c r="I518" s="4">
        <v>1</v>
      </c>
      <c r="J518" s="4">
        <v>0</v>
      </c>
      <c r="K518" s="4">
        <v>1</v>
      </c>
      <c r="L518" s="5">
        <f>IF(F518="F",65.79,IF(F518="M",79.94,""))</f>
        <v>65.790000000000006</v>
      </c>
      <c r="M518" s="3">
        <f t="shared" si="56"/>
        <v>0</v>
      </c>
      <c r="N518" s="3" t="str">
        <f t="shared" si="57"/>
        <v>VSC-non-halitosis</v>
      </c>
      <c r="O518" s="3" t="str">
        <f t="shared" si="58"/>
        <v>Clinical- / VSC-</v>
      </c>
      <c r="P518" s="5">
        <f t="shared" si="59"/>
        <v>0</v>
      </c>
      <c r="Q518" s="5">
        <f t="shared" si="60"/>
        <v>0.69314718055994529</v>
      </c>
      <c r="R518" s="5">
        <f t="shared" si="60"/>
        <v>0</v>
      </c>
      <c r="S518" s="5">
        <f t="shared" si="61"/>
        <v>0</v>
      </c>
      <c r="T518" s="3">
        <f t="shared" si="62"/>
        <v>0</v>
      </c>
      <c r="U518" s="3" t="s">
        <v>102</v>
      </c>
      <c r="V518" s="3">
        <v>1</v>
      </c>
      <c r="W518" s="6">
        <v>6.8</v>
      </c>
      <c r="X518" s="4">
        <v>10</v>
      </c>
      <c r="Y518" s="5">
        <v>0.6</v>
      </c>
      <c r="Z518" s="5">
        <v>2.5</v>
      </c>
      <c r="AA518" s="3" t="s">
        <v>80</v>
      </c>
      <c r="AB518" s="3">
        <v>0</v>
      </c>
      <c r="AC518" s="3" t="s">
        <v>81</v>
      </c>
      <c r="AD518" s="3">
        <v>0</v>
      </c>
      <c r="AE518" s="3" t="s">
        <v>82</v>
      </c>
      <c r="AF518" s="3">
        <v>1</v>
      </c>
      <c r="AG518" s="3" t="s">
        <v>98</v>
      </c>
      <c r="AH518" s="3">
        <v>0</v>
      </c>
      <c r="AI518" s="3">
        <v>1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1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7"/>
      <c r="BX518" s="7" t="s">
        <v>1403</v>
      </c>
    </row>
    <row r="519" spans="1:76">
      <c r="A519" s="3" t="s">
        <v>1404</v>
      </c>
      <c r="B519" s="3">
        <v>5839</v>
      </c>
      <c r="C519" s="3" t="s">
        <v>1405</v>
      </c>
      <c r="D519" s="3">
        <v>1</v>
      </c>
      <c r="E519" s="4">
        <v>57</v>
      </c>
      <c r="F519" s="3" t="s">
        <v>87</v>
      </c>
      <c r="G519" s="3">
        <v>0</v>
      </c>
      <c r="H519" s="3">
        <v>0</v>
      </c>
      <c r="I519" s="4">
        <v>78</v>
      </c>
      <c r="J519" s="4">
        <v>16</v>
      </c>
      <c r="K519" s="4">
        <v>94</v>
      </c>
      <c r="L519" s="5">
        <f>IF(F519="F",65.79,IF(F519="M",79.94,""))</f>
        <v>65.790000000000006</v>
      </c>
      <c r="M519" s="3">
        <f t="shared" si="56"/>
        <v>1</v>
      </c>
      <c r="N519" s="3" t="str">
        <f t="shared" si="57"/>
        <v>VSC-halitosis</v>
      </c>
      <c r="O519" s="3" t="str">
        <f t="shared" si="58"/>
        <v>Clinical- / VSC+</v>
      </c>
      <c r="P519" s="5">
        <f t="shared" si="59"/>
        <v>4.5432947822700038</v>
      </c>
      <c r="Q519" s="5">
        <f t="shared" si="60"/>
        <v>4.3694478524670215</v>
      </c>
      <c r="R519" s="5">
        <f t="shared" si="60"/>
        <v>2.8332133440562162</v>
      </c>
      <c r="S519" s="5">
        <f t="shared" si="61"/>
        <v>0.1702127659574468</v>
      </c>
      <c r="T519" s="3">
        <f t="shared" si="62"/>
        <v>0</v>
      </c>
      <c r="U519" s="3" t="s">
        <v>96</v>
      </c>
      <c r="V519" s="3">
        <v>3</v>
      </c>
      <c r="W519" s="6">
        <v>6.2</v>
      </c>
      <c r="X519" s="4">
        <v>5</v>
      </c>
      <c r="Y519" s="5">
        <v>0.2</v>
      </c>
      <c r="Z519" s="5">
        <v>1</v>
      </c>
      <c r="AA519" s="3" t="s">
        <v>108</v>
      </c>
      <c r="AB519" s="3">
        <v>1</v>
      </c>
      <c r="AC519" s="3" t="s">
        <v>81</v>
      </c>
      <c r="AD519" s="3">
        <v>0</v>
      </c>
      <c r="AE519" s="3" t="s">
        <v>82</v>
      </c>
      <c r="AF519" s="3">
        <v>1</v>
      </c>
      <c r="AG519" s="3" t="s">
        <v>82</v>
      </c>
      <c r="AH519" s="3">
        <v>1</v>
      </c>
      <c r="AI519" s="3">
        <v>2</v>
      </c>
      <c r="AJ519" s="3">
        <v>1</v>
      </c>
      <c r="AK519" s="3">
        <v>0</v>
      </c>
      <c r="AL519" s="3">
        <v>1</v>
      </c>
      <c r="AM519" s="3">
        <v>0</v>
      </c>
      <c r="AN519" s="3">
        <v>1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1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7" t="s">
        <v>143</v>
      </c>
      <c r="BX519" s="7" t="s">
        <v>1406</v>
      </c>
    </row>
    <row r="520" spans="1:76">
      <c r="A520" s="3" t="s">
        <v>1407</v>
      </c>
      <c r="B520" s="3">
        <v>5851</v>
      </c>
      <c r="C520" s="3" t="s">
        <v>1408</v>
      </c>
      <c r="D520" s="3">
        <v>1</v>
      </c>
      <c r="E520" s="4">
        <v>68</v>
      </c>
      <c r="F520" s="3" t="s">
        <v>78</v>
      </c>
      <c r="G520" s="3">
        <v>0</v>
      </c>
      <c r="H520" s="3">
        <v>1</v>
      </c>
      <c r="I520" s="4">
        <v>1.7</v>
      </c>
      <c r="J520" s="4">
        <v>1.3</v>
      </c>
      <c r="K520" s="4">
        <v>3</v>
      </c>
      <c r="L520" s="5">
        <f>IF(F520="F",65.79,IF(F520="M",79.94,""))</f>
        <v>79.94</v>
      </c>
      <c r="M520" s="3">
        <f t="shared" si="56"/>
        <v>0</v>
      </c>
      <c r="N520" s="3" t="str">
        <f t="shared" si="57"/>
        <v>VSC-non-halitosis</v>
      </c>
      <c r="O520" s="3" t="str">
        <f t="shared" si="58"/>
        <v>Clinical- / VSC-</v>
      </c>
      <c r="P520" s="5">
        <f t="shared" si="59"/>
        <v>1.0986122886681098</v>
      </c>
      <c r="Q520" s="5">
        <f t="shared" si="60"/>
        <v>0.99325177301028345</v>
      </c>
      <c r="R520" s="5">
        <f t="shared" si="60"/>
        <v>0.83290912293510388</v>
      </c>
      <c r="S520" s="5">
        <f t="shared" si="61"/>
        <v>0.43333333333333335</v>
      </c>
      <c r="T520" s="3">
        <f t="shared" si="62"/>
        <v>0</v>
      </c>
      <c r="U520" s="3" t="s">
        <v>102</v>
      </c>
      <c r="V520" s="3">
        <v>1</v>
      </c>
      <c r="W520" s="6">
        <v>6.2</v>
      </c>
      <c r="X520" s="4">
        <v>7</v>
      </c>
      <c r="Y520" s="5">
        <v>0.4</v>
      </c>
      <c r="Z520" s="5">
        <v>3</v>
      </c>
      <c r="AA520" s="3" t="s">
        <v>80</v>
      </c>
      <c r="AB520" s="3">
        <v>0</v>
      </c>
      <c r="AC520" s="3" t="s">
        <v>81</v>
      </c>
      <c r="AD520" s="3">
        <v>0</v>
      </c>
      <c r="AE520" s="3" t="s">
        <v>82</v>
      </c>
      <c r="AF520" s="3">
        <v>1</v>
      </c>
      <c r="AG520" s="3" t="s">
        <v>82</v>
      </c>
      <c r="AH520" s="3">
        <v>1</v>
      </c>
      <c r="AI520" s="3">
        <v>2</v>
      </c>
      <c r="AJ520" s="3">
        <v>1</v>
      </c>
      <c r="AK520" s="3">
        <v>0</v>
      </c>
      <c r="AL520" s="3">
        <v>1</v>
      </c>
      <c r="AM520" s="3">
        <v>0</v>
      </c>
      <c r="AN520" s="3">
        <v>0</v>
      </c>
      <c r="AO520" s="3">
        <v>0</v>
      </c>
      <c r="AP520" s="3">
        <v>1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1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7" t="s">
        <v>1409</v>
      </c>
      <c r="BX520" s="7" t="s">
        <v>1410</v>
      </c>
    </row>
    <row r="521" spans="1:76">
      <c r="A521" s="3" t="s">
        <v>1411</v>
      </c>
      <c r="B521" s="3">
        <v>6745</v>
      </c>
      <c r="C521" s="3" t="s">
        <v>1412</v>
      </c>
      <c r="D521" s="3">
        <v>1</v>
      </c>
      <c r="E521" s="4">
        <v>67</v>
      </c>
      <c r="F521" s="3" t="s">
        <v>87</v>
      </c>
      <c r="G521" s="3">
        <v>0</v>
      </c>
      <c r="H521" s="3">
        <v>1</v>
      </c>
      <c r="I521" s="4">
        <v>6</v>
      </c>
      <c r="J521" s="4">
        <v>1</v>
      </c>
      <c r="K521" s="4">
        <v>7</v>
      </c>
      <c r="L521" s="5">
        <f>IF(F521="F",65.79,IF(F521="M",79.94,""))</f>
        <v>65.790000000000006</v>
      </c>
      <c r="M521" s="3">
        <f t="shared" si="56"/>
        <v>0</v>
      </c>
      <c r="N521" s="3" t="str">
        <f t="shared" si="57"/>
        <v>VSC-non-halitosis</v>
      </c>
      <c r="O521" s="3" t="str">
        <f t="shared" si="58"/>
        <v>Clinical- / VSC-</v>
      </c>
      <c r="P521" s="5">
        <f t="shared" si="59"/>
        <v>1.9459101490553132</v>
      </c>
      <c r="Q521" s="5">
        <f t="shared" si="60"/>
        <v>1.9459101490553132</v>
      </c>
      <c r="R521" s="5">
        <f t="shared" si="60"/>
        <v>0.69314718055994529</v>
      </c>
      <c r="S521" s="5">
        <f t="shared" si="61"/>
        <v>0.14285714285714285</v>
      </c>
      <c r="T521" s="3">
        <f t="shared" si="62"/>
        <v>0</v>
      </c>
      <c r="U521" s="3" t="s">
        <v>79</v>
      </c>
      <c r="V521" s="3">
        <v>2</v>
      </c>
      <c r="W521" s="6">
        <v>6.4</v>
      </c>
      <c r="X521" s="4">
        <v>9</v>
      </c>
      <c r="Y521" s="5">
        <v>0.2</v>
      </c>
      <c r="Z521" s="5">
        <v>1</v>
      </c>
      <c r="AA521" s="3" t="s">
        <v>80</v>
      </c>
      <c r="AB521" s="3">
        <v>0</v>
      </c>
      <c r="AC521" s="3" t="s">
        <v>113</v>
      </c>
      <c r="AD521" s="3">
        <v>0</v>
      </c>
      <c r="AE521" s="3" t="s">
        <v>98</v>
      </c>
      <c r="AF521" s="3">
        <v>0</v>
      </c>
      <c r="AG521" s="3" t="s">
        <v>98</v>
      </c>
      <c r="AH521" s="3">
        <v>0</v>
      </c>
      <c r="AI521" s="3">
        <v>1</v>
      </c>
      <c r="AJ521" s="3">
        <v>1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1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1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7" t="s">
        <v>376</v>
      </c>
      <c r="BX521" s="7" t="s">
        <v>80</v>
      </c>
    </row>
    <row r="522" spans="1:76">
      <c r="A522" s="3" t="s">
        <v>1413</v>
      </c>
      <c r="B522" s="3">
        <v>5873</v>
      </c>
      <c r="C522" s="3" t="s">
        <v>1414</v>
      </c>
      <c r="D522" s="3">
        <v>2</v>
      </c>
      <c r="E522" s="4">
        <v>30</v>
      </c>
      <c r="F522" s="3" t="s">
        <v>78</v>
      </c>
      <c r="G522" s="3">
        <v>1</v>
      </c>
      <c r="H522" s="3">
        <v>0</v>
      </c>
      <c r="I522" s="4">
        <v>35</v>
      </c>
      <c r="J522" s="4">
        <v>5</v>
      </c>
      <c r="K522" s="4">
        <v>40</v>
      </c>
      <c r="L522" s="5">
        <f>IF(F522="F",65.79,IF(F522="M",79.94,""))</f>
        <v>79.94</v>
      </c>
      <c r="M522" s="3">
        <f t="shared" si="56"/>
        <v>0</v>
      </c>
      <c r="N522" s="3" t="str">
        <f t="shared" si="57"/>
        <v>VSC-non-halitosis</v>
      </c>
      <c r="O522" s="3" t="str">
        <f t="shared" si="58"/>
        <v>Clinical+ / VSC-</v>
      </c>
      <c r="P522" s="5">
        <f t="shared" si="59"/>
        <v>3.6888794541139363</v>
      </c>
      <c r="Q522" s="5">
        <f t="shared" si="60"/>
        <v>3.5835189384561099</v>
      </c>
      <c r="R522" s="5">
        <f t="shared" si="60"/>
        <v>1.791759469228055</v>
      </c>
      <c r="S522" s="5">
        <f t="shared" si="61"/>
        <v>0.125</v>
      </c>
      <c r="T522" s="3">
        <f t="shared" si="62"/>
        <v>0</v>
      </c>
      <c r="U522" s="3" t="s">
        <v>96</v>
      </c>
      <c r="V522" s="3">
        <v>3</v>
      </c>
      <c r="W522" s="6">
        <v>7.4</v>
      </c>
      <c r="X522" s="4">
        <v>8</v>
      </c>
      <c r="Y522" s="5">
        <v>0.3</v>
      </c>
      <c r="Z522" s="5">
        <v>1.5</v>
      </c>
      <c r="AA522" s="3" t="s">
        <v>80</v>
      </c>
      <c r="AB522" s="3">
        <v>0</v>
      </c>
      <c r="AC522" s="3" t="s">
        <v>81</v>
      </c>
      <c r="AD522" s="3">
        <v>0</v>
      </c>
      <c r="AE522" s="3" t="s">
        <v>82</v>
      </c>
      <c r="AF522" s="3">
        <v>1</v>
      </c>
      <c r="AG522" s="3" t="s">
        <v>82</v>
      </c>
      <c r="AH522" s="3">
        <v>1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7" t="s">
        <v>1415</v>
      </c>
      <c r="BX522" s="7" t="s">
        <v>80</v>
      </c>
    </row>
    <row r="523" spans="1:76">
      <c r="A523" s="3" t="s">
        <v>1416</v>
      </c>
      <c r="B523" s="3">
        <v>5873</v>
      </c>
      <c r="C523" s="3" t="s">
        <v>1414</v>
      </c>
      <c r="D523" s="3">
        <v>2</v>
      </c>
      <c r="E523" s="4">
        <v>30</v>
      </c>
      <c r="F523" s="3" t="s">
        <v>78</v>
      </c>
      <c r="G523" s="3">
        <v>1</v>
      </c>
      <c r="H523" s="3">
        <v>0</v>
      </c>
      <c r="I523" s="4">
        <v>26</v>
      </c>
      <c r="J523" s="4">
        <v>3</v>
      </c>
      <c r="K523" s="4">
        <v>29</v>
      </c>
      <c r="L523" s="5">
        <f>IF(F523="F",65.79,IF(F523="M",79.94,""))</f>
        <v>79.94</v>
      </c>
      <c r="M523" s="3">
        <f t="shared" si="56"/>
        <v>0</v>
      </c>
      <c r="N523" s="3" t="str">
        <f t="shared" si="57"/>
        <v>VSC-non-halitosis</v>
      </c>
      <c r="O523" s="3" t="str">
        <f t="shared" si="58"/>
        <v>Clinical+ / VSC-</v>
      </c>
      <c r="P523" s="5">
        <f t="shared" si="59"/>
        <v>3.3672958299864741</v>
      </c>
      <c r="Q523" s="5">
        <f t="shared" si="60"/>
        <v>3.2958368660043291</v>
      </c>
      <c r="R523" s="5">
        <f t="shared" si="60"/>
        <v>1.3862943611198906</v>
      </c>
      <c r="S523" s="5">
        <f t="shared" si="61"/>
        <v>0.10344827586206896</v>
      </c>
      <c r="T523" s="3">
        <f t="shared" si="62"/>
        <v>0</v>
      </c>
      <c r="U523" s="3" t="s">
        <v>96</v>
      </c>
      <c r="V523" s="3">
        <v>3</v>
      </c>
      <c r="W523" s="6">
        <v>7.4</v>
      </c>
      <c r="X523" s="4">
        <v>8</v>
      </c>
      <c r="Y523" s="5">
        <v>0.3</v>
      </c>
      <c r="Z523" s="5">
        <v>1.5</v>
      </c>
      <c r="AA523" s="3" t="s">
        <v>80</v>
      </c>
      <c r="AB523" s="3">
        <v>0</v>
      </c>
      <c r="AC523" s="3" t="s">
        <v>81</v>
      </c>
      <c r="AD523" s="3">
        <v>0</v>
      </c>
      <c r="AE523" s="3" t="s">
        <v>82</v>
      </c>
      <c r="AF523" s="3">
        <v>1</v>
      </c>
      <c r="AG523" s="3" t="s">
        <v>82</v>
      </c>
      <c r="AH523" s="3">
        <v>1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7" t="s">
        <v>1415</v>
      </c>
      <c r="BX523" s="7" t="s">
        <v>80</v>
      </c>
    </row>
    <row r="524" spans="1:76">
      <c r="A524" s="3" t="s">
        <v>1417</v>
      </c>
      <c r="B524" s="3">
        <v>5877</v>
      </c>
      <c r="C524" s="3" t="s">
        <v>1418</v>
      </c>
      <c r="D524" s="3">
        <v>1</v>
      </c>
      <c r="E524" s="4">
        <v>85</v>
      </c>
      <c r="F524" s="3" t="s">
        <v>78</v>
      </c>
      <c r="G524" s="3">
        <v>0</v>
      </c>
      <c r="H524" s="3">
        <v>0</v>
      </c>
      <c r="I524" s="4">
        <v>0</v>
      </c>
      <c r="J524" s="4">
        <v>16</v>
      </c>
      <c r="K524" s="4">
        <v>16</v>
      </c>
      <c r="L524" s="5">
        <f>IF(F524="F",65.79,IF(F524="M",79.94,""))</f>
        <v>79.94</v>
      </c>
      <c r="M524" s="3">
        <f t="shared" si="56"/>
        <v>0</v>
      </c>
      <c r="N524" s="3" t="str">
        <f t="shared" si="57"/>
        <v>VSC-non-halitosis</v>
      </c>
      <c r="O524" s="3" t="str">
        <f t="shared" si="58"/>
        <v>Clinical- / VSC-</v>
      </c>
      <c r="P524" s="5">
        <f t="shared" si="59"/>
        <v>2.7725887222397811</v>
      </c>
      <c r="Q524" s="5">
        <f t="shared" si="60"/>
        <v>0</v>
      </c>
      <c r="R524" s="5">
        <f t="shared" si="60"/>
        <v>2.8332133440562162</v>
      </c>
      <c r="S524" s="5">
        <f t="shared" si="61"/>
        <v>1</v>
      </c>
      <c r="T524" s="3">
        <f t="shared" si="62"/>
        <v>1</v>
      </c>
      <c r="U524" s="3" t="s">
        <v>79</v>
      </c>
      <c r="V524" s="3">
        <v>2</v>
      </c>
      <c r="W524" s="6">
        <v>7.4</v>
      </c>
      <c r="X524" s="4">
        <v>12</v>
      </c>
      <c r="Y524" s="5">
        <v>0.5</v>
      </c>
      <c r="Z524" s="5">
        <v>2.5</v>
      </c>
      <c r="AA524" s="3"/>
      <c r="AB524" s="3">
        <v>0</v>
      </c>
      <c r="AC524" s="3"/>
      <c r="AD524" s="3">
        <v>0</v>
      </c>
      <c r="AE524" s="3"/>
      <c r="AF524" s="3">
        <v>0</v>
      </c>
      <c r="AG524" s="3"/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7"/>
      <c r="BX524" s="7"/>
    </row>
    <row r="525" spans="1:76">
      <c r="A525" s="3" t="s">
        <v>1419</v>
      </c>
      <c r="B525" s="3">
        <v>5884</v>
      </c>
      <c r="C525" s="3" t="s">
        <v>1420</v>
      </c>
      <c r="D525" s="3">
        <v>1</v>
      </c>
      <c r="E525" s="4">
        <v>46</v>
      </c>
      <c r="F525" s="3" t="s">
        <v>87</v>
      </c>
      <c r="G525" s="3">
        <v>0</v>
      </c>
      <c r="H525" s="3">
        <v>0</v>
      </c>
      <c r="I525" s="4">
        <v>22</v>
      </c>
      <c r="J525" s="4">
        <v>12</v>
      </c>
      <c r="K525" s="4">
        <v>34</v>
      </c>
      <c r="L525" s="5">
        <f>IF(F525="F",65.79,IF(F525="M",79.94,""))</f>
        <v>65.790000000000006</v>
      </c>
      <c r="M525" s="3">
        <f t="shared" si="56"/>
        <v>0</v>
      </c>
      <c r="N525" s="3" t="str">
        <f t="shared" si="57"/>
        <v>VSC-non-halitosis</v>
      </c>
      <c r="O525" s="3" t="str">
        <f t="shared" si="58"/>
        <v>Clinical- / VSC-</v>
      </c>
      <c r="P525" s="5">
        <f t="shared" si="59"/>
        <v>3.5263605246161616</v>
      </c>
      <c r="Q525" s="5">
        <f t="shared" si="60"/>
        <v>3.1354942159291497</v>
      </c>
      <c r="R525" s="5">
        <f t="shared" si="60"/>
        <v>2.5649493574615367</v>
      </c>
      <c r="S525" s="5">
        <f t="shared" si="61"/>
        <v>0.35294117647058826</v>
      </c>
      <c r="T525" s="3">
        <f t="shared" si="62"/>
        <v>0</v>
      </c>
      <c r="U525" s="3" t="s">
        <v>96</v>
      </c>
      <c r="V525" s="3">
        <v>3</v>
      </c>
      <c r="W525" s="6">
        <v>6.6</v>
      </c>
      <c r="X525" s="4">
        <v>12</v>
      </c>
      <c r="Y525" s="5">
        <v>0.3</v>
      </c>
      <c r="Z525" s="5">
        <v>1.2</v>
      </c>
      <c r="AA525" s="3" t="s">
        <v>97</v>
      </c>
      <c r="AB525" s="3">
        <v>0</v>
      </c>
      <c r="AC525" s="3" t="s">
        <v>81</v>
      </c>
      <c r="AD525" s="3">
        <v>0</v>
      </c>
      <c r="AE525" s="3" t="s">
        <v>82</v>
      </c>
      <c r="AF525" s="3">
        <v>1</v>
      </c>
      <c r="AG525" s="3" t="s">
        <v>82</v>
      </c>
      <c r="AH525" s="3">
        <v>1</v>
      </c>
      <c r="AI525" s="3">
        <v>2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1</v>
      </c>
      <c r="AP525" s="3">
        <v>0</v>
      </c>
      <c r="AQ525" s="3">
        <v>0</v>
      </c>
      <c r="AR525" s="3">
        <v>0</v>
      </c>
      <c r="AS525" s="3">
        <v>1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7" t="s">
        <v>1421</v>
      </c>
      <c r="BX525" s="7" t="s">
        <v>1422</v>
      </c>
    </row>
    <row r="526" spans="1:76">
      <c r="A526" s="3" t="s">
        <v>1423</v>
      </c>
      <c r="B526" s="3">
        <v>5896</v>
      </c>
      <c r="C526" s="3" t="s">
        <v>1424</v>
      </c>
      <c r="D526" s="3">
        <v>1</v>
      </c>
      <c r="E526" s="4">
        <v>45</v>
      </c>
      <c r="F526" s="3" t="s">
        <v>87</v>
      </c>
      <c r="G526" s="3">
        <v>0</v>
      </c>
      <c r="H526" s="3">
        <v>1</v>
      </c>
      <c r="I526" s="4">
        <v>0</v>
      </c>
      <c r="J526" s="4">
        <v>1</v>
      </c>
      <c r="K526" s="4">
        <v>1</v>
      </c>
      <c r="L526" s="5">
        <f>IF(F526="F",65.79,IF(F526="M",79.94,""))</f>
        <v>65.790000000000006</v>
      </c>
      <c r="M526" s="3">
        <f t="shared" si="56"/>
        <v>0</v>
      </c>
      <c r="N526" s="3" t="str">
        <f t="shared" si="57"/>
        <v>VSC-non-halitosis</v>
      </c>
      <c r="O526" s="3" t="str">
        <f t="shared" si="58"/>
        <v>Clinical- / VSC-</v>
      </c>
      <c r="P526" s="5">
        <f t="shared" si="59"/>
        <v>0</v>
      </c>
      <c r="Q526" s="5">
        <f t="shared" si="60"/>
        <v>0</v>
      </c>
      <c r="R526" s="5">
        <f t="shared" si="60"/>
        <v>0.69314718055994529</v>
      </c>
      <c r="S526" s="5">
        <f t="shared" si="61"/>
        <v>1</v>
      </c>
      <c r="T526" s="3">
        <f t="shared" si="62"/>
        <v>1</v>
      </c>
      <c r="U526" s="3" t="s">
        <v>102</v>
      </c>
      <c r="V526" s="3">
        <v>1</v>
      </c>
      <c r="W526" s="6">
        <v>7</v>
      </c>
      <c r="X526" s="4">
        <v>6</v>
      </c>
      <c r="Y526" s="5">
        <v>0.5</v>
      </c>
      <c r="Z526" s="5">
        <v>1</v>
      </c>
      <c r="AA526" s="3" t="s">
        <v>404</v>
      </c>
      <c r="AB526" s="3">
        <v>1</v>
      </c>
      <c r="AC526" s="3" t="s">
        <v>81</v>
      </c>
      <c r="AD526" s="3">
        <v>0</v>
      </c>
      <c r="AE526" s="3" t="s">
        <v>98</v>
      </c>
      <c r="AF526" s="3">
        <v>0</v>
      </c>
      <c r="AG526" s="3" t="s">
        <v>82</v>
      </c>
      <c r="AH526" s="3">
        <v>1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7" t="s">
        <v>119</v>
      </c>
      <c r="BX526" s="7"/>
    </row>
    <row r="527" spans="1:76">
      <c r="A527" s="3" t="s">
        <v>1425</v>
      </c>
      <c r="B527" s="3">
        <v>5904</v>
      </c>
      <c r="C527" s="3" t="s">
        <v>1426</v>
      </c>
      <c r="D527" s="3">
        <v>1</v>
      </c>
      <c r="E527" s="4">
        <v>48</v>
      </c>
      <c r="F527" s="3" t="s">
        <v>87</v>
      </c>
      <c r="G527" s="3">
        <v>0</v>
      </c>
      <c r="H527" s="3">
        <v>0</v>
      </c>
      <c r="I527" s="4">
        <v>1</v>
      </c>
      <c r="J527" s="4">
        <v>3</v>
      </c>
      <c r="K527" s="4">
        <v>4</v>
      </c>
      <c r="L527" s="5">
        <f>IF(F527="F",65.79,IF(F527="M",79.94,""))</f>
        <v>65.790000000000006</v>
      </c>
      <c r="M527" s="3">
        <f t="shared" si="56"/>
        <v>0</v>
      </c>
      <c r="N527" s="3" t="str">
        <f t="shared" si="57"/>
        <v>VSC-non-halitosis</v>
      </c>
      <c r="O527" s="3" t="str">
        <f t="shared" si="58"/>
        <v>Clinical- / VSC-</v>
      </c>
      <c r="P527" s="5">
        <f t="shared" si="59"/>
        <v>1.3862943611198906</v>
      </c>
      <c r="Q527" s="5">
        <f t="shared" si="60"/>
        <v>0.69314718055994529</v>
      </c>
      <c r="R527" s="5">
        <f t="shared" si="60"/>
        <v>1.3862943611198906</v>
      </c>
      <c r="S527" s="5">
        <f t="shared" si="61"/>
        <v>0.75</v>
      </c>
      <c r="T527" s="3">
        <f t="shared" si="62"/>
        <v>1</v>
      </c>
      <c r="U527" s="3" t="s">
        <v>79</v>
      </c>
      <c r="V527" s="3">
        <v>2</v>
      </c>
      <c r="W527" s="6">
        <v>7.2</v>
      </c>
      <c r="X527" s="4">
        <v>12</v>
      </c>
      <c r="Y527" s="5">
        <v>0.2</v>
      </c>
      <c r="Z527" s="5">
        <v>1.5</v>
      </c>
      <c r="AA527" s="3" t="s">
        <v>97</v>
      </c>
      <c r="AB527" s="3">
        <v>0</v>
      </c>
      <c r="AC527" s="3" t="s">
        <v>113</v>
      </c>
      <c r="AD527" s="3">
        <v>0</v>
      </c>
      <c r="AE527" s="3" t="s">
        <v>98</v>
      </c>
      <c r="AF527" s="3">
        <v>0</v>
      </c>
      <c r="AG527" s="3" t="s">
        <v>98</v>
      </c>
      <c r="AH527" s="3">
        <v>0</v>
      </c>
      <c r="AI527" s="3">
        <v>1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1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7"/>
      <c r="BX527" s="7" t="s">
        <v>1427</v>
      </c>
    </row>
    <row r="528" spans="1:76">
      <c r="A528" s="3" t="s">
        <v>1428</v>
      </c>
      <c r="B528" s="3">
        <v>5906</v>
      </c>
      <c r="C528" s="3" t="s">
        <v>1429</v>
      </c>
      <c r="D528" s="3">
        <v>1</v>
      </c>
      <c r="E528" s="4">
        <v>63</v>
      </c>
      <c r="F528" s="3" t="s">
        <v>78</v>
      </c>
      <c r="G528" s="3">
        <v>0</v>
      </c>
      <c r="H528" s="3">
        <v>1</v>
      </c>
      <c r="I528" s="4">
        <v>2</v>
      </c>
      <c r="J528" s="4">
        <v>1</v>
      </c>
      <c r="K528" s="4">
        <v>3</v>
      </c>
      <c r="L528" s="5">
        <f>IF(F528="F",65.79,IF(F528="M",79.94,""))</f>
        <v>79.94</v>
      </c>
      <c r="M528" s="3">
        <f t="shared" si="56"/>
        <v>0</v>
      </c>
      <c r="N528" s="3" t="str">
        <f t="shared" si="57"/>
        <v>VSC-non-halitosis</v>
      </c>
      <c r="O528" s="3" t="str">
        <f t="shared" si="58"/>
        <v>Clinical- / VSC-</v>
      </c>
      <c r="P528" s="5">
        <f t="shared" si="59"/>
        <v>1.0986122886681098</v>
      </c>
      <c r="Q528" s="5">
        <f t="shared" si="60"/>
        <v>1.0986122886681098</v>
      </c>
      <c r="R528" s="5">
        <f t="shared" si="60"/>
        <v>0.69314718055994529</v>
      </c>
      <c r="S528" s="5">
        <f t="shared" si="61"/>
        <v>0.33333333333333331</v>
      </c>
      <c r="T528" s="3">
        <f t="shared" si="62"/>
        <v>0</v>
      </c>
      <c r="U528" s="3" t="s">
        <v>102</v>
      </c>
      <c r="V528" s="3">
        <v>1</v>
      </c>
      <c r="W528" s="6"/>
      <c r="X528" s="4">
        <v>12</v>
      </c>
      <c r="Y528" s="5">
        <v>0</v>
      </c>
      <c r="Z528" s="5">
        <v>0.02</v>
      </c>
      <c r="AA528" s="3" t="s">
        <v>97</v>
      </c>
      <c r="AB528" s="3">
        <v>0</v>
      </c>
      <c r="AC528" s="3" t="s">
        <v>138</v>
      </c>
      <c r="AD528" s="3">
        <v>1</v>
      </c>
      <c r="AE528" s="3" t="s">
        <v>82</v>
      </c>
      <c r="AF528" s="3">
        <v>1</v>
      </c>
      <c r="AG528" s="3" t="s">
        <v>82</v>
      </c>
      <c r="AH528" s="3">
        <v>1</v>
      </c>
      <c r="AI528" s="3">
        <v>2</v>
      </c>
      <c r="AJ528" s="3">
        <v>0</v>
      </c>
      <c r="AK528" s="3">
        <v>0</v>
      </c>
      <c r="AL528" s="3">
        <v>0</v>
      </c>
      <c r="AM528" s="3">
        <v>1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1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7" t="s">
        <v>219</v>
      </c>
      <c r="BX528" s="7" t="s">
        <v>1430</v>
      </c>
    </row>
    <row r="529" spans="1:76">
      <c r="A529" s="3" t="s">
        <v>1431</v>
      </c>
      <c r="B529" s="3">
        <v>5914</v>
      </c>
      <c r="C529" s="3" t="s">
        <v>1432</v>
      </c>
      <c r="D529" s="3">
        <v>1</v>
      </c>
      <c r="E529" s="4">
        <v>54</v>
      </c>
      <c r="F529" s="3" t="s">
        <v>87</v>
      </c>
      <c r="G529" s="3">
        <v>0</v>
      </c>
      <c r="H529" s="3">
        <v>0</v>
      </c>
      <c r="I529" s="4">
        <v>0</v>
      </c>
      <c r="J529" s="4">
        <v>2</v>
      </c>
      <c r="K529" s="4">
        <v>2</v>
      </c>
      <c r="L529" s="5">
        <f>IF(F529="F",65.79,IF(F529="M",79.94,""))</f>
        <v>65.790000000000006</v>
      </c>
      <c r="M529" s="3">
        <f t="shared" si="56"/>
        <v>0</v>
      </c>
      <c r="N529" s="3" t="str">
        <f t="shared" si="57"/>
        <v>VSC-non-halitosis</v>
      </c>
      <c r="O529" s="3" t="str">
        <f t="shared" si="58"/>
        <v>Clinical- / VSC-</v>
      </c>
      <c r="P529" s="5">
        <f t="shared" si="59"/>
        <v>0.69314718055994529</v>
      </c>
      <c r="Q529" s="5">
        <f t="shared" si="60"/>
        <v>0</v>
      </c>
      <c r="R529" s="5">
        <f t="shared" si="60"/>
        <v>1.0986122886681098</v>
      </c>
      <c r="S529" s="5">
        <f t="shared" si="61"/>
        <v>1</v>
      </c>
      <c r="T529" s="3">
        <f t="shared" si="62"/>
        <v>1</v>
      </c>
      <c r="U529" s="3" t="s">
        <v>102</v>
      </c>
      <c r="V529" s="3">
        <v>1</v>
      </c>
      <c r="W529" s="6">
        <v>6.6</v>
      </c>
      <c r="X529" s="4">
        <v>12</v>
      </c>
      <c r="Y529" s="5">
        <v>0.3</v>
      </c>
      <c r="Z529" s="5">
        <v>1</v>
      </c>
      <c r="AA529" s="3" t="s">
        <v>404</v>
      </c>
      <c r="AB529" s="3">
        <v>1</v>
      </c>
      <c r="AC529" s="3" t="s">
        <v>81</v>
      </c>
      <c r="AD529" s="3">
        <v>0</v>
      </c>
      <c r="AE529" s="3" t="s">
        <v>98</v>
      </c>
      <c r="AF529" s="3">
        <v>0</v>
      </c>
      <c r="AG529" s="3" t="s">
        <v>82</v>
      </c>
      <c r="AH529" s="3">
        <v>1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7" t="s">
        <v>1433</v>
      </c>
      <c r="BX529" s="7" t="s">
        <v>1434</v>
      </c>
    </row>
    <row r="530" spans="1:76">
      <c r="A530" s="3" t="s">
        <v>1435</v>
      </c>
      <c r="B530" s="3">
        <v>5945</v>
      </c>
      <c r="C530" s="3" t="s">
        <v>1436</v>
      </c>
      <c r="D530" s="3">
        <v>1</v>
      </c>
      <c r="E530" s="4">
        <v>55</v>
      </c>
      <c r="F530" s="3" t="s">
        <v>87</v>
      </c>
      <c r="G530" s="3">
        <v>0</v>
      </c>
      <c r="H530" s="3">
        <v>0</v>
      </c>
      <c r="I530" s="4">
        <v>0</v>
      </c>
      <c r="J530" s="4">
        <v>3</v>
      </c>
      <c r="K530" s="4">
        <v>3</v>
      </c>
      <c r="L530" s="5">
        <f>IF(F530="F",65.79,IF(F530="M",79.94,""))</f>
        <v>65.790000000000006</v>
      </c>
      <c r="M530" s="3">
        <f t="shared" si="56"/>
        <v>0</v>
      </c>
      <c r="N530" s="3" t="str">
        <f t="shared" si="57"/>
        <v>VSC-non-halitosis</v>
      </c>
      <c r="O530" s="3" t="str">
        <f t="shared" si="58"/>
        <v>Clinical- / VSC-</v>
      </c>
      <c r="P530" s="5">
        <f t="shared" si="59"/>
        <v>1.0986122886681098</v>
      </c>
      <c r="Q530" s="5">
        <f t="shared" si="60"/>
        <v>0</v>
      </c>
      <c r="R530" s="5">
        <f t="shared" si="60"/>
        <v>1.3862943611198906</v>
      </c>
      <c r="S530" s="5">
        <f t="shared" si="61"/>
        <v>1</v>
      </c>
      <c r="T530" s="3">
        <f t="shared" si="62"/>
        <v>1</v>
      </c>
      <c r="U530" s="3" t="s">
        <v>102</v>
      </c>
      <c r="V530" s="3">
        <v>1</v>
      </c>
      <c r="W530" s="6">
        <v>6.2</v>
      </c>
      <c r="X530" s="4">
        <v>10</v>
      </c>
      <c r="Y530" s="5">
        <v>0.5</v>
      </c>
      <c r="Z530" s="5">
        <v>0.5</v>
      </c>
      <c r="AA530" s="3" t="s">
        <v>404</v>
      </c>
      <c r="AB530" s="3">
        <v>1</v>
      </c>
      <c r="AC530" s="3" t="s">
        <v>81</v>
      </c>
      <c r="AD530" s="3">
        <v>0</v>
      </c>
      <c r="AE530" s="3" t="s">
        <v>98</v>
      </c>
      <c r="AF530" s="3">
        <v>0</v>
      </c>
      <c r="AG530" s="3" t="s">
        <v>82</v>
      </c>
      <c r="AH530" s="3">
        <v>1</v>
      </c>
      <c r="AI530" s="3">
        <v>2</v>
      </c>
      <c r="AJ530" s="3">
        <v>0</v>
      </c>
      <c r="AK530" s="3">
        <v>0</v>
      </c>
      <c r="AL530" s="3">
        <v>1</v>
      </c>
      <c r="AM530" s="3">
        <v>1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7" t="s">
        <v>1437</v>
      </c>
      <c r="BX530" s="7"/>
    </row>
    <row r="531" spans="1:76">
      <c r="A531" s="3" t="s">
        <v>1438</v>
      </c>
      <c r="B531" s="3">
        <v>5947</v>
      </c>
      <c r="C531" s="3" t="s">
        <v>1439</v>
      </c>
      <c r="D531" s="3">
        <v>1</v>
      </c>
      <c r="E531" s="4">
        <v>51</v>
      </c>
      <c r="F531" s="3" t="s">
        <v>78</v>
      </c>
      <c r="G531" s="3">
        <v>0</v>
      </c>
      <c r="H531" s="3">
        <v>0</v>
      </c>
      <c r="I531" s="4">
        <v>33</v>
      </c>
      <c r="J531" s="4">
        <v>1</v>
      </c>
      <c r="K531" s="4">
        <v>34</v>
      </c>
      <c r="L531" s="5">
        <f>IF(F531="F",65.79,IF(F531="M",79.94,""))</f>
        <v>79.94</v>
      </c>
      <c r="M531" s="3">
        <f t="shared" si="56"/>
        <v>0</v>
      </c>
      <c r="N531" s="3" t="str">
        <f t="shared" si="57"/>
        <v>VSC-non-halitosis</v>
      </c>
      <c r="O531" s="3" t="str">
        <f t="shared" si="58"/>
        <v>Clinical- / VSC-</v>
      </c>
      <c r="P531" s="5">
        <f t="shared" si="59"/>
        <v>3.5263605246161616</v>
      </c>
      <c r="Q531" s="5">
        <f t="shared" si="60"/>
        <v>3.5263605246161616</v>
      </c>
      <c r="R531" s="5">
        <f t="shared" si="60"/>
        <v>0.69314718055994529</v>
      </c>
      <c r="S531" s="5">
        <f t="shared" si="61"/>
        <v>2.9411764705882353E-2</v>
      </c>
      <c r="T531" s="3">
        <f t="shared" si="62"/>
        <v>0</v>
      </c>
      <c r="U531" s="3" t="s">
        <v>96</v>
      </c>
      <c r="V531" s="3">
        <v>3</v>
      </c>
      <c r="W531" s="6">
        <v>6.5</v>
      </c>
      <c r="X531" s="4">
        <v>10</v>
      </c>
      <c r="Y531" s="5">
        <v>0.7</v>
      </c>
      <c r="Z531" s="5">
        <v>1.1000000000000001</v>
      </c>
      <c r="AA531" s="3" t="s">
        <v>404</v>
      </c>
      <c r="AB531" s="3">
        <v>1</v>
      </c>
      <c r="AC531" s="3" t="s">
        <v>81</v>
      </c>
      <c r="AD531" s="3">
        <v>0</v>
      </c>
      <c r="AE531" s="3" t="s">
        <v>98</v>
      </c>
      <c r="AF531" s="3">
        <v>0</v>
      </c>
      <c r="AG531" s="3" t="s">
        <v>82</v>
      </c>
      <c r="AH531" s="3">
        <v>1</v>
      </c>
      <c r="AI531" s="3">
        <v>2</v>
      </c>
      <c r="AJ531" s="3">
        <v>0</v>
      </c>
      <c r="AK531" s="3">
        <v>0</v>
      </c>
      <c r="AL531" s="3">
        <v>1</v>
      </c>
      <c r="AM531" s="3">
        <v>1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7" t="s">
        <v>134</v>
      </c>
      <c r="BX531" s="7"/>
    </row>
    <row r="532" spans="1:76">
      <c r="A532" s="3" t="s">
        <v>1440</v>
      </c>
      <c r="B532" s="3">
        <v>5954</v>
      </c>
      <c r="C532" s="3" t="s">
        <v>1441</v>
      </c>
      <c r="D532" s="3">
        <v>1</v>
      </c>
      <c r="E532" s="4">
        <v>51</v>
      </c>
      <c r="F532" s="3" t="s">
        <v>78</v>
      </c>
      <c r="G532" s="3">
        <v>0</v>
      </c>
      <c r="H532" s="3">
        <v>1</v>
      </c>
      <c r="I532" s="4">
        <v>72</v>
      </c>
      <c r="J532" s="4">
        <v>6</v>
      </c>
      <c r="K532" s="4">
        <v>78</v>
      </c>
      <c r="L532" s="5">
        <f>IF(F532="F",65.79,IF(F532="M",79.94,""))</f>
        <v>79.94</v>
      </c>
      <c r="M532" s="3">
        <f t="shared" si="56"/>
        <v>0</v>
      </c>
      <c r="N532" s="3" t="str">
        <f t="shared" si="57"/>
        <v>VSC-non-halitosis</v>
      </c>
      <c r="O532" s="3" t="str">
        <f t="shared" si="58"/>
        <v>Clinical- / VSC-</v>
      </c>
      <c r="P532" s="5">
        <f t="shared" si="59"/>
        <v>4.3567088266895917</v>
      </c>
      <c r="Q532" s="5">
        <f t="shared" si="60"/>
        <v>4.290459441148391</v>
      </c>
      <c r="R532" s="5">
        <f t="shared" si="60"/>
        <v>1.9459101490553132</v>
      </c>
      <c r="S532" s="5">
        <f t="shared" si="61"/>
        <v>7.6923076923076927E-2</v>
      </c>
      <c r="T532" s="3">
        <f t="shared" si="62"/>
        <v>0</v>
      </c>
      <c r="U532" s="3" t="s">
        <v>96</v>
      </c>
      <c r="V532" s="3">
        <v>3</v>
      </c>
      <c r="W532" s="6">
        <v>6.6</v>
      </c>
      <c r="X532" s="4">
        <v>9</v>
      </c>
      <c r="Y532" s="5">
        <v>0.5</v>
      </c>
      <c r="Z532" s="5">
        <v>2</v>
      </c>
      <c r="AA532" s="3" t="s">
        <v>97</v>
      </c>
      <c r="AB532" s="3">
        <v>0</v>
      </c>
      <c r="AC532" s="3" t="s">
        <v>113</v>
      </c>
      <c r="AD532" s="3">
        <v>0</v>
      </c>
      <c r="AE532" s="3" t="s">
        <v>82</v>
      </c>
      <c r="AF532" s="3">
        <v>1</v>
      </c>
      <c r="AG532" s="3" t="s">
        <v>82</v>
      </c>
      <c r="AH532" s="3">
        <v>1</v>
      </c>
      <c r="AI532" s="3">
        <v>1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1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7" t="s">
        <v>1442</v>
      </c>
      <c r="BX532" s="7" t="s">
        <v>119</v>
      </c>
    </row>
    <row r="533" spans="1:76">
      <c r="A533" s="3" t="s">
        <v>1443</v>
      </c>
      <c r="B533" s="3">
        <v>5959</v>
      </c>
      <c r="C533" s="3" t="s">
        <v>1444</v>
      </c>
      <c r="D533" s="3">
        <v>1</v>
      </c>
      <c r="E533" s="4">
        <v>61</v>
      </c>
      <c r="F533" s="3" t="s">
        <v>87</v>
      </c>
      <c r="G533" s="3">
        <v>0</v>
      </c>
      <c r="H533" s="3">
        <v>0</v>
      </c>
      <c r="I533" s="4">
        <v>10</v>
      </c>
      <c r="J533" s="4">
        <v>0</v>
      </c>
      <c r="K533" s="4">
        <v>10</v>
      </c>
      <c r="L533" s="5">
        <f>IF(F533="F",65.79,IF(F533="M",79.94,""))</f>
        <v>65.790000000000006</v>
      </c>
      <c r="M533" s="3">
        <f t="shared" si="56"/>
        <v>0</v>
      </c>
      <c r="N533" s="3" t="str">
        <f t="shared" si="57"/>
        <v>VSC-non-halitosis</v>
      </c>
      <c r="O533" s="3" t="str">
        <f t="shared" si="58"/>
        <v>Clinical- / VSC-</v>
      </c>
      <c r="P533" s="5">
        <f t="shared" si="59"/>
        <v>2.3025850929940459</v>
      </c>
      <c r="Q533" s="5">
        <f t="shared" si="60"/>
        <v>2.3978952727983707</v>
      </c>
      <c r="R533" s="5">
        <f t="shared" si="60"/>
        <v>0</v>
      </c>
      <c r="S533" s="5">
        <f t="shared" si="61"/>
        <v>0</v>
      </c>
      <c r="T533" s="3">
        <f t="shared" si="62"/>
        <v>0</v>
      </c>
      <c r="U533" s="3" t="s">
        <v>79</v>
      </c>
      <c r="V533" s="3">
        <v>2</v>
      </c>
      <c r="W533" s="6">
        <v>7.4</v>
      </c>
      <c r="X533" s="4">
        <v>8</v>
      </c>
      <c r="Y533" s="5">
        <v>0.5</v>
      </c>
      <c r="Z533" s="5">
        <v>1.5</v>
      </c>
      <c r="AA533" s="3" t="s">
        <v>97</v>
      </c>
      <c r="AB533" s="3">
        <v>0</v>
      </c>
      <c r="AC533" s="3" t="s">
        <v>81</v>
      </c>
      <c r="AD533" s="3">
        <v>0</v>
      </c>
      <c r="AE533" s="3" t="s">
        <v>82</v>
      </c>
      <c r="AF533" s="3">
        <v>1</v>
      </c>
      <c r="AG533" s="3" t="s">
        <v>82</v>
      </c>
      <c r="AH533" s="3">
        <v>1</v>
      </c>
      <c r="AI533" s="3">
        <v>1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1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7"/>
      <c r="BX533" s="7" t="s">
        <v>1445</v>
      </c>
    </row>
    <row r="534" spans="1:76">
      <c r="A534" s="3" t="s">
        <v>1446</v>
      </c>
      <c r="B534" s="3">
        <v>6255</v>
      </c>
      <c r="C534" s="3" t="s">
        <v>1447</v>
      </c>
      <c r="D534" s="3">
        <v>1</v>
      </c>
      <c r="E534" s="4">
        <v>50</v>
      </c>
      <c r="F534" s="3" t="s">
        <v>87</v>
      </c>
      <c r="G534" s="3">
        <v>1</v>
      </c>
      <c r="H534" s="3">
        <v>0</v>
      </c>
      <c r="I534" s="4">
        <v>0</v>
      </c>
      <c r="J534" s="4">
        <v>1</v>
      </c>
      <c r="K534" s="4">
        <v>1</v>
      </c>
      <c r="L534" s="5">
        <f>IF(F534="F",65.79,IF(F534="M",79.94,""))</f>
        <v>65.790000000000006</v>
      </c>
      <c r="M534" s="3">
        <f t="shared" si="56"/>
        <v>0</v>
      </c>
      <c r="N534" s="3" t="str">
        <f t="shared" si="57"/>
        <v>VSC-non-halitosis</v>
      </c>
      <c r="O534" s="3" t="str">
        <f t="shared" si="58"/>
        <v>Clinical+ / VSC-</v>
      </c>
      <c r="P534" s="5">
        <f t="shared" si="59"/>
        <v>0</v>
      </c>
      <c r="Q534" s="5">
        <f t="shared" si="60"/>
        <v>0</v>
      </c>
      <c r="R534" s="5">
        <f t="shared" si="60"/>
        <v>0.69314718055994529</v>
      </c>
      <c r="S534" s="5">
        <f t="shared" si="61"/>
        <v>1</v>
      </c>
      <c r="T534" s="3">
        <f t="shared" si="62"/>
        <v>1</v>
      </c>
      <c r="U534" s="3" t="s">
        <v>102</v>
      </c>
      <c r="V534" s="3">
        <v>1</v>
      </c>
      <c r="W534" s="6">
        <v>6.6</v>
      </c>
      <c r="X534" s="4">
        <v>12</v>
      </c>
      <c r="Y534" s="5">
        <v>0.2</v>
      </c>
      <c r="Z534" s="5">
        <v>0.8</v>
      </c>
      <c r="AA534" s="3" t="s">
        <v>80</v>
      </c>
      <c r="AB534" s="3">
        <v>0</v>
      </c>
      <c r="AC534" s="3" t="s">
        <v>113</v>
      </c>
      <c r="AD534" s="3">
        <v>0</v>
      </c>
      <c r="AE534" s="3" t="s">
        <v>98</v>
      </c>
      <c r="AF534" s="3">
        <v>0</v>
      </c>
      <c r="AG534" s="3" t="s">
        <v>98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7" t="s">
        <v>119</v>
      </c>
      <c r="BX534" s="7" t="s">
        <v>119</v>
      </c>
    </row>
    <row r="535" spans="1:76">
      <c r="A535" s="3" t="s">
        <v>1448</v>
      </c>
      <c r="B535" s="3">
        <v>5976</v>
      </c>
      <c r="C535" s="3" t="s">
        <v>1449</v>
      </c>
      <c r="D535" s="3">
        <v>1</v>
      </c>
      <c r="E535" s="4">
        <v>24</v>
      </c>
      <c r="F535" s="3" t="s">
        <v>87</v>
      </c>
      <c r="G535" s="3">
        <v>0</v>
      </c>
      <c r="H535" s="3">
        <v>0</v>
      </c>
      <c r="I535" s="4">
        <v>1</v>
      </c>
      <c r="J535" s="4">
        <v>0</v>
      </c>
      <c r="K535" s="4">
        <v>1</v>
      </c>
      <c r="L535" s="5">
        <f>IF(F535="F",65.79,IF(F535="M",79.94,""))</f>
        <v>65.790000000000006</v>
      </c>
      <c r="M535" s="3">
        <f t="shared" si="56"/>
        <v>0</v>
      </c>
      <c r="N535" s="3" t="str">
        <f t="shared" si="57"/>
        <v>VSC-non-halitosis</v>
      </c>
      <c r="O535" s="3" t="str">
        <f t="shared" si="58"/>
        <v>Clinical- / VSC-</v>
      </c>
      <c r="P535" s="5">
        <f t="shared" si="59"/>
        <v>0</v>
      </c>
      <c r="Q535" s="5">
        <f t="shared" si="60"/>
        <v>0.69314718055994529</v>
      </c>
      <c r="R535" s="5">
        <f t="shared" si="60"/>
        <v>0</v>
      </c>
      <c r="S535" s="5">
        <f t="shared" si="61"/>
        <v>0</v>
      </c>
      <c r="T535" s="3">
        <f t="shared" si="62"/>
        <v>0</v>
      </c>
      <c r="U535" s="3" t="s">
        <v>102</v>
      </c>
      <c r="V535" s="3">
        <v>1</v>
      </c>
      <c r="W535" s="6">
        <v>7</v>
      </c>
      <c r="X535" s="4">
        <v>9</v>
      </c>
      <c r="Y535" s="5">
        <v>0.5</v>
      </c>
      <c r="Z535" s="5">
        <v>1.5</v>
      </c>
      <c r="AA535" s="3" t="s">
        <v>97</v>
      </c>
      <c r="AB535" s="3">
        <v>0</v>
      </c>
      <c r="AC535" s="3" t="s">
        <v>113</v>
      </c>
      <c r="AD535" s="3">
        <v>0</v>
      </c>
      <c r="AE535" s="3" t="s">
        <v>98</v>
      </c>
      <c r="AF535" s="3">
        <v>0</v>
      </c>
      <c r="AG535" s="3" t="s">
        <v>98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7"/>
      <c r="BX535" s="7"/>
    </row>
    <row r="536" spans="1:76">
      <c r="A536" s="3" t="s">
        <v>1450</v>
      </c>
      <c r="B536" s="3">
        <v>5979</v>
      </c>
      <c r="C536" s="3" t="s">
        <v>1451</v>
      </c>
      <c r="D536" s="3">
        <v>1</v>
      </c>
      <c r="E536" s="4">
        <v>81</v>
      </c>
      <c r="F536" s="3" t="s">
        <v>87</v>
      </c>
      <c r="G536" s="3">
        <v>0</v>
      </c>
      <c r="H536" s="3">
        <v>0</v>
      </c>
      <c r="I536" s="4">
        <v>5</v>
      </c>
      <c r="J536" s="4">
        <v>1</v>
      </c>
      <c r="K536" s="4">
        <v>6</v>
      </c>
      <c r="L536" s="5">
        <f>IF(F536="F",65.79,IF(F536="M",79.94,""))</f>
        <v>65.790000000000006</v>
      </c>
      <c r="M536" s="3">
        <f t="shared" si="56"/>
        <v>0</v>
      </c>
      <c r="N536" s="3" t="str">
        <f t="shared" si="57"/>
        <v>VSC-non-halitosis</v>
      </c>
      <c r="O536" s="3" t="str">
        <f t="shared" si="58"/>
        <v>Clinical- / VSC-</v>
      </c>
      <c r="P536" s="5">
        <f t="shared" si="59"/>
        <v>1.791759469228055</v>
      </c>
      <c r="Q536" s="5">
        <f t="shared" si="60"/>
        <v>1.791759469228055</v>
      </c>
      <c r="R536" s="5">
        <f t="shared" si="60"/>
        <v>0.69314718055994529</v>
      </c>
      <c r="S536" s="5">
        <f t="shared" si="61"/>
        <v>0.16666666666666666</v>
      </c>
      <c r="T536" s="3">
        <f t="shared" si="62"/>
        <v>0</v>
      </c>
      <c r="U536" s="3" t="s">
        <v>79</v>
      </c>
      <c r="V536" s="3">
        <v>2</v>
      </c>
      <c r="W536" s="6">
        <v>7</v>
      </c>
      <c r="X536" s="4">
        <v>9</v>
      </c>
      <c r="Y536" s="5">
        <v>0.2</v>
      </c>
      <c r="Z536" s="5">
        <v>1</v>
      </c>
      <c r="AA536" s="3" t="s">
        <v>97</v>
      </c>
      <c r="AB536" s="3">
        <v>0</v>
      </c>
      <c r="AC536" s="3" t="s">
        <v>81</v>
      </c>
      <c r="AD536" s="3">
        <v>0</v>
      </c>
      <c r="AE536" s="3" t="s">
        <v>82</v>
      </c>
      <c r="AF536" s="3">
        <v>1</v>
      </c>
      <c r="AG536" s="3" t="s">
        <v>98</v>
      </c>
      <c r="AH536" s="3">
        <v>0</v>
      </c>
      <c r="AI536" s="3">
        <v>3</v>
      </c>
      <c r="AJ536" s="3">
        <v>1</v>
      </c>
      <c r="AK536" s="3">
        <v>1</v>
      </c>
      <c r="AL536" s="3">
        <v>1</v>
      </c>
      <c r="AM536" s="3">
        <v>0</v>
      </c>
      <c r="AN536" s="3">
        <v>0</v>
      </c>
      <c r="AO536" s="3">
        <v>0</v>
      </c>
      <c r="AP536" s="3">
        <v>0</v>
      </c>
      <c r="AQ536" s="3">
        <v>1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1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1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7" t="s">
        <v>1452</v>
      </c>
      <c r="BX536" s="7" t="s">
        <v>1453</v>
      </c>
    </row>
    <row r="537" spans="1:76" ht="34">
      <c r="A537" s="3" t="s">
        <v>1454</v>
      </c>
      <c r="B537" s="3">
        <v>5981</v>
      </c>
      <c r="C537" s="3" t="s">
        <v>1455</v>
      </c>
      <c r="D537" s="3">
        <v>1</v>
      </c>
      <c r="E537" s="4">
        <v>73</v>
      </c>
      <c r="F537" s="3" t="s">
        <v>87</v>
      </c>
      <c r="G537" s="3">
        <v>0</v>
      </c>
      <c r="H537" s="3">
        <v>0</v>
      </c>
      <c r="I537" s="4">
        <v>9</v>
      </c>
      <c r="J537" s="4">
        <v>2</v>
      </c>
      <c r="K537" s="4">
        <v>11</v>
      </c>
      <c r="L537" s="5">
        <f>IF(F537="F",65.79,IF(F537="M",79.94,""))</f>
        <v>65.790000000000006</v>
      </c>
      <c r="M537" s="3">
        <f t="shared" si="56"/>
        <v>0</v>
      </c>
      <c r="N537" s="3" t="str">
        <f t="shared" si="57"/>
        <v>VSC-non-halitosis</v>
      </c>
      <c r="O537" s="3" t="str">
        <f t="shared" si="58"/>
        <v>Clinical- / VSC-</v>
      </c>
      <c r="P537" s="5">
        <f t="shared" si="59"/>
        <v>2.3978952727983707</v>
      </c>
      <c r="Q537" s="5">
        <f t="shared" si="60"/>
        <v>2.3025850929940459</v>
      </c>
      <c r="R537" s="5">
        <f t="shared" si="60"/>
        <v>1.0986122886681098</v>
      </c>
      <c r="S537" s="5">
        <f t="shared" si="61"/>
        <v>0.18181818181818182</v>
      </c>
      <c r="T537" s="3">
        <f t="shared" si="62"/>
        <v>0</v>
      </c>
      <c r="U537" s="3" t="s">
        <v>79</v>
      </c>
      <c r="V537" s="3">
        <v>2</v>
      </c>
      <c r="W537" s="6">
        <v>6.2</v>
      </c>
      <c r="X537" s="4">
        <v>9</v>
      </c>
      <c r="Y537" s="5">
        <v>0.2</v>
      </c>
      <c r="Z537" s="5">
        <v>1</v>
      </c>
      <c r="AA537" s="3" t="s">
        <v>97</v>
      </c>
      <c r="AB537" s="3">
        <v>0</v>
      </c>
      <c r="AC537" s="3" t="s">
        <v>81</v>
      </c>
      <c r="AD537" s="3">
        <v>0</v>
      </c>
      <c r="AE537" s="3" t="s">
        <v>98</v>
      </c>
      <c r="AF537" s="3">
        <v>0</v>
      </c>
      <c r="AG537" s="3" t="s">
        <v>103</v>
      </c>
      <c r="AH537" s="3">
        <v>1</v>
      </c>
      <c r="AI537" s="3">
        <v>2</v>
      </c>
      <c r="AJ537" s="3">
        <v>1</v>
      </c>
      <c r="AK537" s="3">
        <v>0</v>
      </c>
      <c r="AL537" s="3">
        <v>0</v>
      </c>
      <c r="AM537" s="3">
        <v>0</v>
      </c>
      <c r="AN537" s="3">
        <v>1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1</v>
      </c>
      <c r="BC537" s="3">
        <v>0</v>
      </c>
      <c r="BD537" s="3">
        <v>0</v>
      </c>
      <c r="BE537" s="3">
        <v>0</v>
      </c>
      <c r="BF537" s="3">
        <v>1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7" t="s">
        <v>1456</v>
      </c>
      <c r="BX537" s="7" t="s">
        <v>1457</v>
      </c>
    </row>
    <row r="538" spans="1:76">
      <c r="A538" s="3" t="s">
        <v>1458</v>
      </c>
      <c r="B538" s="3">
        <v>6005</v>
      </c>
      <c r="C538" s="3" t="s">
        <v>1459</v>
      </c>
      <c r="D538" s="3">
        <v>1</v>
      </c>
      <c r="E538" s="4">
        <v>32</v>
      </c>
      <c r="F538" s="3" t="s">
        <v>87</v>
      </c>
      <c r="G538" s="3">
        <v>1</v>
      </c>
      <c r="H538" s="3">
        <v>1</v>
      </c>
      <c r="I538" s="4">
        <v>1</v>
      </c>
      <c r="J538" s="4">
        <v>0</v>
      </c>
      <c r="K538" s="4">
        <v>1</v>
      </c>
      <c r="L538" s="5">
        <f>IF(F538="F",65.79,IF(F538="M",79.94,""))</f>
        <v>65.790000000000006</v>
      </c>
      <c r="M538" s="3">
        <f t="shared" si="56"/>
        <v>0</v>
      </c>
      <c r="N538" s="3" t="str">
        <f t="shared" si="57"/>
        <v>VSC-non-halitosis</v>
      </c>
      <c r="O538" s="3" t="str">
        <f t="shared" si="58"/>
        <v>Clinical+ / VSC-</v>
      </c>
      <c r="P538" s="5">
        <f t="shared" si="59"/>
        <v>0</v>
      </c>
      <c r="Q538" s="5">
        <f t="shared" si="60"/>
        <v>0.69314718055994529</v>
      </c>
      <c r="R538" s="5">
        <f t="shared" si="60"/>
        <v>0</v>
      </c>
      <c r="S538" s="5">
        <f t="shared" si="61"/>
        <v>0</v>
      </c>
      <c r="T538" s="3">
        <f t="shared" si="62"/>
        <v>0</v>
      </c>
      <c r="U538" s="3" t="s">
        <v>102</v>
      </c>
      <c r="V538" s="3">
        <v>1</v>
      </c>
      <c r="W538" s="6">
        <v>6.8</v>
      </c>
      <c r="X538" s="4">
        <v>9</v>
      </c>
      <c r="Y538" s="5">
        <v>1</v>
      </c>
      <c r="Z538" s="5">
        <v>2.4</v>
      </c>
      <c r="AA538" s="3" t="s">
        <v>97</v>
      </c>
      <c r="AB538" s="3">
        <v>0</v>
      </c>
      <c r="AC538" s="3" t="s">
        <v>113</v>
      </c>
      <c r="AD538" s="3">
        <v>0</v>
      </c>
      <c r="AE538" s="3" t="s">
        <v>98</v>
      </c>
      <c r="AF538" s="3">
        <v>0</v>
      </c>
      <c r="AG538" s="3" t="s">
        <v>98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7" t="s">
        <v>119</v>
      </c>
      <c r="BX538" s="7" t="s">
        <v>119</v>
      </c>
    </row>
    <row r="539" spans="1:76">
      <c r="A539" s="3" t="s">
        <v>1460</v>
      </c>
      <c r="B539" s="3">
        <v>6010</v>
      </c>
      <c r="C539" s="3" t="s">
        <v>1461</v>
      </c>
      <c r="D539" s="3">
        <v>1</v>
      </c>
      <c r="E539" s="4">
        <v>37</v>
      </c>
      <c r="F539" s="3" t="s">
        <v>87</v>
      </c>
      <c r="G539" s="3">
        <v>0</v>
      </c>
      <c r="H539" s="3">
        <v>0</v>
      </c>
      <c r="I539" s="4">
        <v>14</v>
      </c>
      <c r="J539" s="4">
        <v>2</v>
      </c>
      <c r="K539" s="4">
        <v>16</v>
      </c>
      <c r="L539" s="5">
        <f>IF(F539="F",65.79,IF(F539="M",79.94,""))</f>
        <v>65.790000000000006</v>
      </c>
      <c r="M539" s="3">
        <f t="shared" si="56"/>
        <v>0</v>
      </c>
      <c r="N539" s="3" t="str">
        <f t="shared" si="57"/>
        <v>VSC-non-halitosis</v>
      </c>
      <c r="O539" s="3" t="str">
        <f t="shared" si="58"/>
        <v>Clinical- / VSC-</v>
      </c>
      <c r="P539" s="5">
        <f t="shared" si="59"/>
        <v>2.7725887222397811</v>
      </c>
      <c r="Q539" s="5">
        <f t="shared" si="60"/>
        <v>2.7080502011022101</v>
      </c>
      <c r="R539" s="5">
        <f t="shared" si="60"/>
        <v>1.0986122886681098</v>
      </c>
      <c r="S539" s="5">
        <f t="shared" si="61"/>
        <v>0.125</v>
      </c>
      <c r="T539" s="3">
        <f t="shared" si="62"/>
        <v>0</v>
      </c>
      <c r="U539" s="3" t="s">
        <v>79</v>
      </c>
      <c r="V539" s="3">
        <v>2</v>
      </c>
      <c r="W539" s="6">
        <v>6.2</v>
      </c>
      <c r="X539" s="4">
        <v>9</v>
      </c>
      <c r="Y539" s="5">
        <v>0.02</v>
      </c>
      <c r="Z539" s="5">
        <v>0.6</v>
      </c>
      <c r="AA539" s="3" t="s">
        <v>97</v>
      </c>
      <c r="AB539" s="3">
        <v>0</v>
      </c>
      <c r="AC539" s="3" t="s">
        <v>113</v>
      </c>
      <c r="AD539" s="3">
        <v>0</v>
      </c>
      <c r="AE539" s="3" t="s">
        <v>98</v>
      </c>
      <c r="AF539" s="3">
        <v>0</v>
      </c>
      <c r="AG539" s="3" t="s">
        <v>82</v>
      </c>
      <c r="AH539" s="3">
        <v>1</v>
      </c>
      <c r="AI539" s="3">
        <v>1</v>
      </c>
      <c r="AJ539" s="3">
        <v>1</v>
      </c>
      <c r="AK539" s="3">
        <v>0</v>
      </c>
      <c r="AL539" s="3">
        <v>0</v>
      </c>
      <c r="AM539" s="3">
        <v>0</v>
      </c>
      <c r="AN539" s="3">
        <v>1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1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7" t="s">
        <v>1462</v>
      </c>
      <c r="BX539" s="7"/>
    </row>
    <row r="540" spans="1:76">
      <c r="A540" s="3" t="s">
        <v>1463</v>
      </c>
      <c r="B540" s="3">
        <v>6077</v>
      </c>
      <c r="C540" s="3" t="s">
        <v>1464</v>
      </c>
      <c r="D540" s="3">
        <v>1</v>
      </c>
      <c r="E540" s="4">
        <v>58</v>
      </c>
      <c r="F540" s="3" t="s">
        <v>78</v>
      </c>
      <c r="G540" s="3">
        <v>0</v>
      </c>
      <c r="H540" s="3">
        <v>0</v>
      </c>
      <c r="I540" s="4">
        <v>5</v>
      </c>
      <c r="J540" s="4">
        <v>2</v>
      </c>
      <c r="K540" s="4">
        <v>7</v>
      </c>
      <c r="L540" s="5">
        <f>IF(F540="F",65.79,IF(F540="M",79.94,""))</f>
        <v>79.94</v>
      </c>
      <c r="M540" s="3">
        <f t="shared" si="56"/>
        <v>0</v>
      </c>
      <c r="N540" s="3" t="str">
        <f t="shared" si="57"/>
        <v>VSC-non-halitosis</v>
      </c>
      <c r="O540" s="3" t="str">
        <f t="shared" si="58"/>
        <v>Clinical- / VSC-</v>
      </c>
      <c r="P540" s="5">
        <f t="shared" si="59"/>
        <v>1.9459101490553132</v>
      </c>
      <c r="Q540" s="5">
        <f t="shared" si="60"/>
        <v>1.791759469228055</v>
      </c>
      <c r="R540" s="5">
        <f t="shared" si="60"/>
        <v>1.0986122886681098</v>
      </c>
      <c r="S540" s="5">
        <f t="shared" si="61"/>
        <v>0.2857142857142857</v>
      </c>
      <c r="T540" s="3">
        <f t="shared" si="62"/>
        <v>0</v>
      </c>
      <c r="U540" s="3" t="s">
        <v>79</v>
      </c>
      <c r="V540" s="3">
        <v>2</v>
      </c>
      <c r="W540" s="6">
        <v>6.4</v>
      </c>
      <c r="X540" s="4">
        <v>9</v>
      </c>
      <c r="Y540" s="5">
        <v>0.4</v>
      </c>
      <c r="Z540" s="5">
        <v>2</v>
      </c>
      <c r="AA540" s="3" t="s">
        <v>80</v>
      </c>
      <c r="AB540" s="3">
        <v>0</v>
      </c>
      <c r="AC540" s="3" t="s">
        <v>81</v>
      </c>
      <c r="AD540" s="3">
        <v>0</v>
      </c>
      <c r="AE540" s="3" t="s">
        <v>82</v>
      </c>
      <c r="AF540" s="3">
        <v>1</v>
      </c>
      <c r="AG540" s="3" t="s">
        <v>98</v>
      </c>
      <c r="AH540" s="3">
        <v>0</v>
      </c>
      <c r="AI540" s="3">
        <v>2</v>
      </c>
      <c r="AJ540" s="3">
        <v>1</v>
      </c>
      <c r="AK540" s="3">
        <v>0</v>
      </c>
      <c r="AL540" s="3">
        <v>0</v>
      </c>
      <c r="AM540" s="3">
        <v>1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1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1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7" t="s">
        <v>1465</v>
      </c>
      <c r="BX540" s="7" t="s">
        <v>1466</v>
      </c>
    </row>
    <row r="541" spans="1:76">
      <c r="A541" s="3" t="s">
        <v>1467</v>
      </c>
      <c r="B541" s="3">
        <v>6895</v>
      </c>
      <c r="C541" s="3" t="s">
        <v>1468</v>
      </c>
      <c r="D541" s="3">
        <v>1</v>
      </c>
      <c r="E541" s="4">
        <v>72</v>
      </c>
      <c r="F541" s="3" t="s">
        <v>87</v>
      </c>
      <c r="G541" s="3">
        <v>0</v>
      </c>
      <c r="H541" s="3">
        <v>0</v>
      </c>
      <c r="I541" s="4">
        <v>7</v>
      </c>
      <c r="J541" s="4">
        <v>2</v>
      </c>
      <c r="K541" s="4">
        <v>9</v>
      </c>
      <c r="L541" s="5">
        <f>IF(F541="F",65.79,IF(F541="M",79.94,""))</f>
        <v>65.790000000000006</v>
      </c>
      <c r="M541" s="3">
        <f t="shared" si="56"/>
        <v>0</v>
      </c>
      <c r="N541" s="3" t="str">
        <f t="shared" si="57"/>
        <v>VSC-non-halitosis</v>
      </c>
      <c r="O541" s="3" t="str">
        <f t="shared" si="58"/>
        <v>Clinical- / VSC-</v>
      </c>
      <c r="P541" s="5">
        <f t="shared" si="59"/>
        <v>2.1972245773362196</v>
      </c>
      <c r="Q541" s="5">
        <f t="shared" si="60"/>
        <v>2.0794415416798357</v>
      </c>
      <c r="R541" s="5">
        <f t="shared" si="60"/>
        <v>1.0986122886681098</v>
      </c>
      <c r="S541" s="5">
        <f t="shared" si="61"/>
        <v>0.22222222222222221</v>
      </c>
      <c r="T541" s="3">
        <f t="shared" si="62"/>
        <v>0</v>
      </c>
      <c r="U541" s="3" t="s">
        <v>79</v>
      </c>
      <c r="V541" s="3">
        <v>2</v>
      </c>
      <c r="W541" s="6">
        <v>7.2</v>
      </c>
      <c r="X541" s="4">
        <v>9</v>
      </c>
      <c r="Y541" s="5">
        <v>0.6</v>
      </c>
      <c r="Z541" s="5">
        <v>1</v>
      </c>
      <c r="AA541" s="3" t="s">
        <v>80</v>
      </c>
      <c r="AB541" s="3">
        <v>0</v>
      </c>
      <c r="AC541" s="3" t="s">
        <v>113</v>
      </c>
      <c r="AD541" s="3">
        <v>0</v>
      </c>
      <c r="AE541" s="3" t="s">
        <v>98</v>
      </c>
      <c r="AF541" s="3">
        <v>0</v>
      </c>
      <c r="AG541" s="3" t="s">
        <v>82</v>
      </c>
      <c r="AH541" s="3">
        <v>1</v>
      </c>
      <c r="AI541" s="3">
        <v>2</v>
      </c>
      <c r="AJ541" s="3">
        <v>1</v>
      </c>
      <c r="AK541" s="3">
        <v>0</v>
      </c>
      <c r="AL541" s="3">
        <v>1</v>
      </c>
      <c r="AM541" s="3">
        <v>0</v>
      </c>
      <c r="AN541" s="3">
        <v>1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1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7" t="s">
        <v>143</v>
      </c>
      <c r="BX541" s="7" t="s">
        <v>1469</v>
      </c>
    </row>
    <row r="542" spans="1:76">
      <c r="A542" s="3" t="s">
        <v>1470</v>
      </c>
      <c r="B542" s="3">
        <v>6135</v>
      </c>
      <c r="C542" s="3" t="s">
        <v>1471</v>
      </c>
      <c r="D542" s="3">
        <v>1</v>
      </c>
      <c r="E542" s="4">
        <v>72</v>
      </c>
      <c r="F542" s="3" t="s">
        <v>87</v>
      </c>
      <c r="G542" s="3">
        <v>0</v>
      </c>
      <c r="H542" s="3">
        <v>1</v>
      </c>
      <c r="I542" s="4">
        <v>17</v>
      </c>
      <c r="J542" s="4">
        <v>1</v>
      </c>
      <c r="K542" s="4">
        <v>18</v>
      </c>
      <c r="L542" s="5">
        <f>IF(F542="F",65.79,IF(F542="M",79.94,""))</f>
        <v>65.790000000000006</v>
      </c>
      <c r="M542" s="3">
        <f t="shared" si="56"/>
        <v>0</v>
      </c>
      <c r="N542" s="3" t="str">
        <f t="shared" si="57"/>
        <v>VSC-non-halitosis</v>
      </c>
      <c r="O542" s="3" t="str">
        <f t="shared" si="58"/>
        <v>Clinical- / VSC-</v>
      </c>
      <c r="P542" s="5">
        <f t="shared" si="59"/>
        <v>2.8903717578961645</v>
      </c>
      <c r="Q542" s="5">
        <f t="shared" si="60"/>
        <v>2.8903717578961645</v>
      </c>
      <c r="R542" s="5">
        <f t="shared" si="60"/>
        <v>0.69314718055994529</v>
      </c>
      <c r="S542" s="5">
        <f t="shared" si="61"/>
        <v>5.5555555555555552E-2</v>
      </c>
      <c r="T542" s="3">
        <f t="shared" si="62"/>
        <v>0</v>
      </c>
      <c r="U542" s="3" t="s">
        <v>79</v>
      </c>
      <c r="V542" s="3">
        <v>2</v>
      </c>
      <c r="W542" s="6">
        <v>6.4</v>
      </c>
      <c r="X542" s="4">
        <v>12</v>
      </c>
      <c r="Y542" s="5">
        <v>0.35</v>
      </c>
      <c r="Z542" s="5">
        <v>1.6</v>
      </c>
      <c r="AA542" s="3" t="s">
        <v>80</v>
      </c>
      <c r="AB542" s="3">
        <v>0</v>
      </c>
      <c r="AC542" s="3" t="s">
        <v>81</v>
      </c>
      <c r="AD542" s="3">
        <v>0</v>
      </c>
      <c r="AE542" s="3" t="s">
        <v>82</v>
      </c>
      <c r="AF542" s="3">
        <v>1</v>
      </c>
      <c r="AG542" s="3" t="s">
        <v>82</v>
      </c>
      <c r="AH542" s="3">
        <v>1</v>
      </c>
      <c r="AI542" s="3">
        <v>2</v>
      </c>
      <c r="AJ542" s="3">
        <v>1</v>
      </c>
      <c r="AK542" s="3">
        <v>0</v>
      </c>
      <c r="AL542" s="3">
        <v>0</v>
      </c>
      <c r="AM542" s="3">
        <v>0</v>
      </c>
      <c r="AN542" s="3">
        <v>1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1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1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7" t="s">
        <v>119</v>
      </c>
      <c r="BX542" s="7" t="s">
        <v>1472</v>
      </c>
    </row>
    <row r="543" spans="1:76">
      <c r="A543" s="3" t="s">
        <v>1473</v>
      </c>
      <c r="B543" s="3">
        <v>6139</v>
      </c>
      <c r="C543" s="3" t="s">
        <v>1474</v>
      </c>
      <c r="D543" s="3">
        <v>1</v>
      </c>
      <c r="E543" s="4">
        <v>43</v>
      </c>
      <c r="F543" s="3" t="s">
        <v>87</v>
      </c>
      <c r="G543" s="3">
        <v>0</v>
      </c>
      <c r="H543" s="3">
        <v>0</v>
      </c>
      <c r="I543" s="4">
        <v>18</v>
      </c>
      <c r="J543" s="4">
        <v>3</v>
      </c>
      <c r="K543" s="4">
        <v>21</v>
      </c>
      <c r="L543" s="5">
        <f>IF(F543="F",65.79,IF(F543="M",79.94,""))</f>
        <v>65.790000000000006</v>
      </c>
      <c r="M543" s="3">
        <f t="shared" si="56"/>
        <v>0</v>
      </c>
      <c r="N543" s="3" t="str">
        <f t="shared" si="57"/>
        <v>VSC-non-halitosis</v>
      </c>
      <c r="O543" s="3" t="str">
        <f t="shared" si="58"/>
        <v>Clinical- / VSC-</v>
      </c>
      <c r="P543" s="5">
        <f t="shared" si="59"/>
        <v>3.044522437723423</v>
      </c>
      <c r="Q543" s="5">
        <f t="shared" si="60"/>
        <v>2.9444389791664403</v>
      </c>
      <c r="R543" s="5">
        <f t="shared" si="60"/>
        <v>1.3862943611198906</v>
      </c>
      <c r="S543" s="5">
        <f t="shared" si="61"/>
        <v>0.14285714285714285</v>
      </c>
      <c r="T543" s="3">
        <f t="shared" si="62"/>
        <v>0</v>
      </c>
      <c r="U543" s="3" t="s">
        <v>79</v>
      </c>
      <c r="V543" s="3">
        <v>2</v>
      </c>
      <c r="W543" s="6">
        <v>6.7</v>
      </c>
      <c r="X543" s="4">
        <v>12</v>
      </c>
      <c r="Y543" s="5">
        <v>0.75</v>
      </c>
      <c r="Z543" s="5">
        <v>2</v>
      </c>
      <c r="AA543" s="3" t="s">
        <v>80</v>
      </c>
      <c r="AB543" s="3">
        <v>0</v>
      </c>
      <c r="AC543" s="3" t="s">
        <v>113</v>
      </c>
      <c r="AD543" s="3">
        <v>0</v>
      </c>
      <c r="AE543" s="3" t="s">
        <v>98</v>
      </c>
      <c r="AF543" s="3">
        <v>0</v>
      </c>
      <c r="AG543" s="3" t="s">
        <v>98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7" t="s">
        <v>119</v>
      </c>
      <c r="BX543" s="7" t="s">
        <v>119</v>
      </c>
    </row>
    <row r="544" spans="1:76">
      <c r="A544" s="3" t="s">
        <v>1475</v>
      </c>
      <c r="B544" s="3">
        <v>6155</v>
      </c>
      <c r="C544" s="3" t="s">
        <v>1476</v>
      </c>
      <c r="D544" s="3">
        <v>1</v>
      </c>
      <c r="E544" s="4">
        <v>53</v>
      </c>
      <c r="F544" s="3" t="s">
        <v>87</v>
      </c>
      <c r="G544" s="3">
        <v>0</v>
      </c>
      <c r="H544" s="3">
        <v>0</v>
      </c>
      <c r="I544" s="4">
        <v>27</v>
      </c>
      <c r="J544" s="4">
        <v>4</v>
      </c>
      <c r="K544" s="4">
        <v>31</v>
      </c>
      <c r="L544" s="5">
        <f>IF(F544="F",65.79,IF(F544="M",79.94,""))</f>
        <v>65.790000000000006</v>
      </c>
      <c r="M544" s="3">
        <f t="shared" si="56"/>
        <v>0</v>
      </c>
      <c r="N544" s="3" t="str">
        <f t="shared" si="57"/>
        <v>VSC-non-halitosis</v>
      </c>
      <c r="O544" s="3" t="str">
        <f t="shared" si="58"/>
        <v>Clinical- / VSC-</v>
      </c>
      <c r="P544" s="5">
        <f t="shared" si="59"/>
        <v>3.4339872044851463</v>
      </c>
      <c r="Q544" s="5">
        <f t="shared" si="60"/>
        <v>3.3322045101752038</v>
      </c>
      <c r="R544" s="5">
        <f t="shared" si="60"/>
        <v>1.6094379124341003</v>
      </c>
      <c r="S544" s="5">
        <f t="shared" si="61"/>
        <v>0.12903225806451613</v>
      </c>
      <c r="T544" s="3">
        <f t="shared" si="62"/>
        <v>0</v>
      </c>
      <c r="U544" s="3" t="s">
        <v>96</v>
      </c>
      <c r="V544" s="3">
        <v>3</v>
      </c>
      <c r="W544" s="6">
        <v>6.4</v>
      </c>
      <c r="X544" s="4">
        <v>10</v>
      </c>
      <c r="Y544" s="5">
        <v>0.3</v>
      </c>
      <c r="Z544" s="5">
        <v>1.5</v>
      </c>
      <c r="AA544" s="3" t="s">
        <v>80</v>
      </c>
      <c r="AB544" s="3">
        <v>0</v>
      </c>
      <c r="AC544" s="3" t="s">
        <v>113</v>
      </c>
      <c r="AD544" s="3">
        <v>0</v>
      </c>
      <c r="AE544" s="3" t="s">
        <v>98</v>
      </c>
      <c r="AF544" s="3">
        <v>0</v>
      </c>
      <c r="AG544" s="3" t="s">
        <v>82</v>
      </c>
      <c r="AH544" s="3">
        <v>1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7" t="s">
        <v>119</v>
      </c>
      <c r="BX544" s="7" t="s">
        <v>1477</v>
      </c>
    </row>
    <row r="545" spans="1:76">
      <c r="A545" s="3" t="s">
        <v>1478</v>
      </c>
      <c r="B545" s="3">
        <v>6167</v>
      </c>
      <c r="C545" s="3" t="s">
        <v>1479</v>
      </c>
      <c r="D545" s="3">
        <v>1</v>
      </c>
      <c r="E545" s="4">
        <v>68</v>
      </c>
      <c r="F545" s="3" t="s">
        <v>87</v>
      </c>
      <c r="G545" s="3">
        <v>0</v>
      </c>
      <c r="H545" s="3">
        <v>0</v>
      </c>
      <c r="I545" s="4">
        <v>0</v>
      </c>
      <c r="J545" s="4">
        <v>2</v>
      </c>
      <c r="K545" s="4">
        <v>2</v>
      </c>
      <c r="L545" s="5">
        <f>IF(F545="F",65.79,IF(F545="M",79.94,""))</f>
        <v>65.790000000000006</v>
      </c>
      <c r="M545" s="3">
        <f t="shared" si="56"/>
        <v>0</v>
      </c>
      <c r="N545" s="3" t="str">
        <f t="shared" si="57"/>
        <v>VSC-non-halitosis</v>
      </c>
      <c r="O545" s="3" t="str">
        <f t="shared" si="58"/>
        <v>Clinical- / VSC-</v>
      </c>
      <c r="P545" s="5">
        <f t="shared" si="59"/>
        <v>0.69314718055994529</v>
      </c>
      <c r="Q545" s="5">
        <f t="shared" si="60"/>
        <v>0</v>
      </c>
      <c r="R545" s="5">
        <f t="shared" si="60"/>
        <v>1.0986122886681098</v>
      </c>
      <c r="S545" s="5">
        <f t="shared" si="61"/>
        <v>1</v>
      </c>
      <c r="T545" s="3">
        <f t="shared" si="62"/>
        <v>1</v>
      </c>
      <c r="U545" s="3" t="s">
        <v>102</v>
      </c>
      <c r="V545" s="3">
        <v>1</v>
      </c>
      <c r="W545" s="6">
        <v>6.2</v>
      </c>
      <c r="X545" s="4">
        <v>12</v>
      </c>
      <c r="Y545" s="5">
        <v>0.3</v>
      </c>
      <c r="Z545" s="5">
        <v>5</v>
      </c>
      <c r="AA545" s="3" t="s">
        <v>80</v>
      </c>
      <c r="AB545" s="3">
        <v>0</v>
      </c>
      <c r="AC545" s="3" t="s">
        <v>80</v>
      </c>
      <c r="AD545" s="3">
        <v>0</v>
      </c>
      <c r="AE545" s="3" t="s">
        <v>80</v>
      </c>
      <c r="AF545" s="3">
        <v>0</v>
      </c>
      <c r="AG545" s="3" t="s">
        <v>80</v>
      </c>
      <c r="AH545" s="3">
        <v>0</v>
      </c>
      <c r="AI545" s="3">
        <v>0</v>
      </c>
      <c r="AJ545" s="3">
        <v>1</v>
      </c>
      <c r="AK545" s="3">
        <v>1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1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7"/>
      <c r="BX545" s="7" t="s">
        <v>1480</v>
      </c>
    </row>
    <row r="546" spans="1:76">
      <c r="A546" s="3" t="s">
        <v>1481</v>
      </c>
      <c r="B546" s="3">
        <v>6169</v>
      </c>
      <c r="C546" s="3" t="s">
        <v>1482</v>
      </c>
      <c r="D546" s="3">
        <v>1</v>
      </c>
      <c r="E546" s="4">
        <v>49</v>
      </c>
      <c r="F546" s="3" t="s">
        <v>87</v>
      </c>
      <c r="G546" s="3">
        <v>0</v>
      </c>
      <c r="H546" s="3">
        <v>0</v>
      </c>
      <c r="I546" s="4">
        <v>12</v>
      </c>
      <c r="J546" s="4">
        <v>2</v>
      </c>
      <c r="K546" s="4">
        <v>14</v>
      </c>
      <c r="L546" s="5">
        <f>IF(F546="F",65.79,IF(F546="M",79.94,""))</f>
        <v>65.790000000000006</v>
      </c>
      <c r="M546" s="3">
        <f t="shared" si="56"/>
        <v>0</v>
      </c>
      <c r="N546" s="3" t="str">
        <f t="shared" si="57"/>
        <v>VSC-non-halitosis</v>
      </c>
      <c r="O546" s="3" t="str">
        <f t="shared" si="58"/>
        <v>Clinical- / VSC-</v>
      </c>
      <c r="P546" s="5">
        <f t="shared" si="59"/>
        <v>2.6390573296152584</v>
      </c>
      <c r="Q546" s="5">
        <f t="shared" si="60"/>
        <v>2.5649493574615367</v>
      </c>
      <c r="R546" s="5">
        <f t="shared" si="60"/>
        <v>1.0986122886681098</v>
      </c>
      <c r="S546" s="5">
        <f t="shared" si="61"/>
        <v>0.14285714285714285</v>
      </c>
      <c r="T546" s="3">
        <f t="shared" si="62"/>
        <v>0</v>
      </c>
      <c r="U546" s="3" t="s">
        <v>79</v>
      </c>
      <c r="V546" s="3">
        <v>2</v>
      </c>
      <c r="W546" s="6">
        <v>6.4</v>
      </c>
      <c r="X546" s="4">
        <v>10</v>
      </c>
      <c r="Y546" s="5">
        <v>0.5</v>
      </c>
      <c r="Z546" s="5">
        <v>2.4</v>
      </c>
      <c r="AA546" s="3" t="s">
        <v>80</v>
      </c>
      <c r="AB546" s="3">
        <v>0</v>
      </c>
      <c r="AC546" s="3" t="s">
        <v>81</v>
      </c>
      <c r="AD546" s="3">
        <v>0</v>
      </c>
      <c r="AE546" s="3" t="s">
        <v>82</v>
      </c>
      <c r="AF546" s="3">
        <v>1</v>
      </c>
      <c r="AG546" s="3" t="s">
        <v>82</v>
      </c>
      <c r="AH546" s="3">
        <v>1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7" t="s">
        <v>119</v>
      </c>
      <c r="BX546" s="7"/>
    </row>
    <row r="547" spans="1:76">
      <c r="A547" s="3" t="s">
        <v>1483</v>
      </c>
      <c r="B547" s="3">
        <v>6196</v>
      </c>
      <c r="C547" s="3" t="s">
        <v>1484</v>
      </c>
      <c r="D547" s="3">
        <v>1</v>
      </c>
      <c r="E547" s="4">
        <v>34</v>
      </c>
      <c r="F547" s="3" t="s">
        <v>78</v>
      </c>
      <c r="G547" s="3">
        <v>0</v>
      </c>
      <c r="H547" s="3">
        <v>1</v>
      </c>
      <c r="I547" s="4">
        <v>11</v>
      </c>
      <c r="J547" s="4">
        <v>1</v>
      </c>
      <c r="K547" s="4">
        <v>12</v>
      </c>
      <c r="L547" s="5">
        <f>IF(F547="F",65.79,IF(F547="M",79.94,""))</f>
        <v>79.94</v>
      </c>
      <c r="M547" s="3">
        <f t="shared" si="56"/>
        <v>0</v>
      </c>
      <c r="N547" s="3" t="str">
        <f t="shared" si="57"/>
        <v>VSC-non-halitosis</v>
      </c>
      <c r="O547" s="3" t="str">
        <f t="shared" si="58"/>
        <v>Clinical- / VSC-</v>
      </c>
      <c r="P547" s="5">
        <f t="shared" si="59"/>
        <v>2.4849066497880004</v>
      </c>
      <c r="Q547" s="5">
        <f t="shared" si="60"/>
        <v>2.4849066497880004</v>
      </c>
      <c r="R547" s="5">
        <f t="shared" si="60"/>
        <v>0.69314718055994529</v>
      </c>
      <c r="S547" s="5">
        <f t="shared" si="61"/>
        <v>8.3333333333333329E-2</v>
      </c>
      <c r="T547" s="3">
        <f t="shared" si="62"/>
        <v>0</v>
      </c>
      <c r="U547" s="3" t="s">
        <v>79</v>
      </c>
      <c r="V547" s="3">
        <v>2</v>
      </c>
      <c r="W547" s="6">
        <v>7.4</v>
      </c>
      <c r="X547" s="4">
        <v>12</v>
      </c>
      <c r="Y547" s="5">
        <v>0.7</v>
      </c>
      <c r="Z547" s="5">
        <v>1</v>
      </c>
      <c r="AA547" s="3" t="s">
        <v>80</v>
      </c>
      <c r="AB547" s="3">
        <v>0</v>
      </c>
      <c r="AC547" s="3" t="s">
        <v>81</v>
      </c>
      <c r="AD547" s="3">
        <v>0</v>
      </c>
      <c r="AE547" s="3" t="s">
        <v>82</v>
      </c>
      <c r="AF547" s="3">
        <v>1</v>
      </c>
      <c r="AG547" s="3" t="s">
        <v>82</v>
      </c>
      <c r="AH547" s="3">
        <v>1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7" t="s">
        <v>119</v>
      </c>
      <c r="BX547" s="7" t="s">
        <v>119</v>
      </c>
    </row>
    <row r="548" spans="1:76">
      <c r="A548" s="3" t="s">
        <v>1485</v>
      </c>
      <c r="B548" s="3">
        <v>6232</v>
      </c>
      <c r="C548" s="3" t="s">
        <v>1486</v>
      </c>
      <c r="D548" s="3">
        <v>1</v>
      </c>
      <c r="E548" s="4">
        <v>49</v>
      </c>
      <c r="F548" s="3" t="s">
        <v>78</v>
      </c>
      <c r="G548" s="3">
        <v>0</v>
      </c>
      <c r="H548" s="3">
        <v>1</v>
      </c>
      <c r="I548" s="4">
        <v>6</v>
      </c>
      <c r="J548" s="4">
        <v>1</v>
      </c>
      <c r="K548" s="4">
        <v>7</v>
      </c>
      <c r="L548" s="5">
        <f>IF(F548="F",65.79,IF(F548="M",79.94,""))</f>
        <v>79.94</v>
      </c>
      <c r="M548" s="3">
        <f t="shared" si="56"/>
        <v>0</v>
      </c>
      <c r="N548" s="3" t="str">
        <f t="shared" si="57"/>
        <v>VSC-non-halitosis</v>
      </c>
      <c r="O548" s="3" t="str">
        <f t="shared" si="58"/>
        <v>Clinical- / VSC-</v>
      </c>
      <c r="P548" s="5">
        <f t="shared" si="59"/>
        <v>1.9459101490553132</v>
      </c>
      <c r="Q548" s="5">
        <f t="shared" si="60"/>
        <v>1.9459101490553132</v>
      </c>
      <c r="R548" s="5">
        <f t="shared" si="60"/>
        <v>0.69314718055994529</v>
      </c>
      <c r="S548" s="5">
        <f t="shared" si="61"/>
        <v>0.14285714285714285</v>
      </c>
      <c r="T548" s="3">
        <f t="shared" si="62"/>
        <v>0</v>
      </c>
      <c r="U548" s="3" t="s">
        <v>79</v>
      </c>
      <c r="V548" s="3">
        <v>2</v>
      </c>
      <c r="W548" s="6">
        <v>5.6</v>
      </c>
      <c r="X548" s="4">
        <v>12</v>
      </c>
      <c r="Y548" s="5">
        <v>0.5</v>
      </c>
      <c r="Z548" s="5">
        <v>1.4</v>
      </c>
      <c r="AA548" s="3" t="s">
        <v>80</v>
      </c>
      <c r="AB548" s="3">
        <v>0</v>
      </c>
      <c r="AC548" s="3" t="s">
        <v>81</v>
      </c>
      <c r="AD548" s="3">
        <v>0</v>
      </c>
      <c r="AE548" s="3" t="s">
        <v>103</v>
      </c>
      <c r="AF548" s="3">
        <v>1</v>
      </c>
      <c r="AG548" s="3" t="s">
        <v>82</v>
      </c>
      <c r="AH548" s="3">
        <v>1</v>
      </c>
      <c r="AI548" s="3">
        <v>2</v>
      </c>
      <c r="AJ548" s="3">
        <v>2</v>
      </c>
      <c r="AK548" s="3">
        <v>1</v>
      </c>
      <c r="AL548" s="3">
        <v>1</v>
      </c>
      <c r="AM548" s="3">
        <v>0</v>
      </c>
      <c r="AN548" s="3">
        <v>1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1</v>
      </c>
      <c r="BG548" s="3">
        <v>1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7" t="s">
        <v>143</v>
      </c>
      <c r="BX548" s="7" t="s">
        <v>1487</v>
      </c>
    </row>
    <row r="549" spans="1:76">
      <c r="A549" s="3" t="s">
        <v>1488</v>
      </c>
      <c r="B549" s="3">
        <v>6234</v>
      </c>
      <c r="C549" s="3" t="s">
        <v>1489</v>
      </c>
      <c r="D549" s="3">
        <v>1</v>
      </c>
      <c r="E549" s="4">
        <v>65</v>
      </c>
      <c r="F549" s="3" t="s">
        <v>78</v>
      </c>
      <c r="G549" s="3">
        <v>0</v>
      </c>
      <c r="H549" s="3">
        <v>0</v>
      </c>
      <c r="I549" s="4">
        <v>15</v>
      </c>
      <c r="J549" s="4">
        <v>2</v>
      </c>
      <c r="K549" s="4">
        <v>17</v>
      </c>
      <c r="L549" s="5">
        <f>IF(F549="F",65.79,IF(F549="M",79.94,""))</f>
        <v>79.94</v>
      </c>
      <c r="M549" s="3">
        <f t="shared" si="56"/>
        <v>0</v>
      </c>
      <c r="N549" s="3" t="str">
        <f t="shared" si="57"/>
        <v>VSC-non-halitosis</v>
      </c>
      <c r="O549" s="3" t="str">
        <f t="shared" si="58"/>
        <v>Clinical- / VSC-</v>
      </c>
      <c r="P549" s="5">
        <f t="shared" si="59"/>
        <v>2.8332133440562162</v>
      </c>
      <c r="Q549" s="5">
        <f t="shared" si="60"/>
        <v>2.7725887222397811</v>
      </c>
      <c r="R549" s="5">
        <f t="shared" si="60"/>
        <v>1.0986122886681098</v>
      </c>
      <c r="S549" s="5">
        <f t="shared" si="61"/>
        <v>0.11764705882352941</v>
      </c>
      <c r="T549" s="3">
        <f t="shared" si="62"/>
        <v>0</v>
      </c>
      <c r="U549" s="3" t="s">
        <v>79</v>
      </c>
      <c r="V549" s="3">
        <v>2</v>
      </c>
      <c r="W549" s="6">
        <v>6.8</v>
      </c>
      <c r="X549" s="4">
        <v>12</v>
      </c>
      <c r="Y549" s="5">
        <v>0.3</v>
      </c>
      <c r="Z549" s="5">
        <v>2</v>
      </c>
      <c r="AA549" s="3" t="s">
        <v>80</v>
      </c>
      <c r="AB549" s="3">
        <v>0</v>
      </c>
      <c r="AC549" s="3" t="s">
        <v>113</v>
      </c>
      <c r="AD549" s="3">
        <v>0</v>
      </c>
      <c r="AE549" s="3" t="s">
        <v>98</v>
      </c>
      <c r="AF549" s="3">
        <v>0</v>
      </c>
      <c r="AG549" s="3" t="s">
        <v>98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7" t="s">
        <v>119</v>
      </c>
      <c r="BX549" s="7" t="s">
        <v>1490</v>
      </c>
    </row>
    <row r="550" spans="1:76">
      <c r="A550" s="3" t="s">
        <v>1491</v>
      </c>
      <c r="B550" s="3">
        <v>6268</v>
      </c>
      <c r="C550" s="3" t="s">
        <v>1492</v>
      </c>
      <c r="D550" s="3">
        <v>1</v>
      </c>
      <c r="E550" s="4">
        <v>34</v>
      </c>
      <c r="F550" s="3" t="s">
        <v>78</v>
      </c>
      <c r="G550" s="3">
        <v>0</v>
      </c>
      <c r="H550" s="3">
        <v>0</v>
      </c>
      <c r="I550" s="4">
        <v>10</v>
      </c>
      <c r="J550" s="4">
        <v>0</v>
      </c>
      <c r="K550" s="4">
        <v>10</v>
      </c>
      <c r="L550" s="5">
        <f>IF(F550="F",65.79,IF(F550="M",79.94,""))</f>
        <v>79.94</v>
      </c>
      <c r="M550" s="3">
        <f t="shared" si="56"/>
        <v>0</v>
      </c>
      <c r="N550" s="3" t="str">
        <f t="shared" si="57"/>
        <v>VSC-non-halitosis</v>
      </c>
      <c r="O550" s="3" t="str">
        <f t="shared" si="58"/>
        <v>Clinical- / VSC-</v>
      </c>
      <c r="P550" s="5">
        <f t="shared" si="59"/>
        <v>2.3025850929940459</v>
      </c>
      <c r="Q550" s="5">
        <f t="shared" si="60"/>
        <v>2.3978952727983707</v>
      </c>
      <c r="R550" s="5">
        <f t="shared" si="60"/>
        <v>0</v>
      </c>
      <c r="S550" s="5">
        <f t="shared" si="61"/>
        <v>0</v>
      </c>
      <c r="T550" s="3">
        <f t="shared" si="62"/>
        <v>0</v>
      </c>
      <c r="U550" s="3" t="s">
        <v>79</v>
      </c>
      <c r="V550" s="3">
        <v>2</v>
      </c>
      <c r="W550" s="6">
        <v>6.2</v>
      </c>
      <c r="X550" s="4">
        <v>12</v>
      </c>
      <c r="Y550" s="5">
        <v>0.6</v>
      </c>
      <c r="Z550" s="5">
        <v>2.2000000000000002</v>
      </c>
      <c r="AA550" s="3" t="s">
        <v>80</v>
      </c>
      <c r="AB550" s="3">
        <v>0</v>
      </c>
      <c r="AC550" s="3" t="s">
        <v>81</v>
      </c>
      <c r="AD550" s="3">
        <v>0</v>
      </c>
      <c r="AE550" s="3" t="s">
        <v>98</v>
      </c>
      <c r="AF550" s="3">
        <v>0</v>
      </c>
      <c r="AG550" s="3" t="s">
        <v>82</v>
      </c>
      <c r="AH550" s="3">
        <v>1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7" t="s">
        <v>119</v>
      </c>
      <c r="BX550" s="7" t="s">
        <v>119</v>
      </c>
    </row>
    <row r="551" spans="1:76">
      <c r="A551" s="3" t="s">
        <v>1493</v>
      </c>
      <c r="B551" s="3">
        <v>6338</v>
      </c>
      <c r="C551" s="3" t="s">
        <v>1494</v>
      </c>
      <c r="D551" s="3">
        <v>1</v>
      </c>
      <c r="E551" s="4">
        <v>52</v>
      </c>
      <c r="F551" s="3" t="s">
        <v>87</v>
      </c>
      <c r="G551" s="3">
        <v>0</v>
      </c>
      <c r="H551" s="3">
        <v>0</v>
      </c>
      <c r="I551" s="4">
        <v>10</v>
      </c>
      <c r="J551" s="4">
        <v>1</v>
      </c>
      <c r="K551" s="4">
        <v>11</v>
      </c>
      <c r="L551" s="5">
        <f>IF(F551="F",65.79,IF(F551="M",79.94,""))</f>
        <v>65.790000000000006</v>
      </c>
      <c r="M551" s="3">
        <f t="shared" si="56"/>
        <v>0</v>
      </c>
      <c r="N551" s="3" t="str">
        <f t="shared" si="57"/>
        <v>VSC-non-halitosis</v>
      </c>
      <c r="O551" s="3" t="str">
        <f t="shared" si="58"/>
        <v>Clinical- / VSC-</v>
      </c>
      <c r="P551" s="5">
        <f t="shared" si="59"/>
        <v>2.3978952727983707</v>
      </c>
      <c r="Q551" s="5">
        <f t="shared" si="60"/>
        <v>2.3978952727983707</v>
      </c>
      <c r="R551" s="5">
        <f t="shared" si="60"/>
        <v>0.69314718055994529</v>
      </c>
      <c r="S551" s="5">
        <f t="shared" si="61"/>
        <v>9.0909090909090912E-2</v>
      </c>
      <c r="T551" s="3">
        <f t="shared" si="62"/>
        <v>0</v>
      </c>
      <c r="U551" s="3" t="s">
        <v>79</v>
      </c>
      <c r="V551" s="3">
        <v>2</v>
      </c>
      <c r="W551" s="6">
        <v>7.4</v>
      </c>
      <c r="X551" s="4">
        <v>10</v>
      </c>
      <c r="Y551" s="5">
        <v>1.2</v>
      </c>
      <c r="Z551" s="5">
        <v>2</v>
      </c>
      <c r="AA551" s="3" t="s">
        <v>80</v>
      </c>
      <c r="AB551" s="3">
        <v>0</v>
      </c>
      <c r="AC551" s="3" t="s">
        <v>81</v>
      </c>
      <c r="AD551" s="3">
        <v>0</v>
      </c>
      <c r="AE551" s="3" t="s">
        <v>82</v>
      </c>
      <c r="AF551" s="3">
        <v>1</v>
      </c>
      <c r="AG551" s="3" t="s">
        <v>98</v>
      </c>
      <c r="AH551" s="3">
        <v>0</v>
      </c>
      <c r="AI551" s="3">
        <v>3</v>
      </c>
      <c r="AJ551" s="3">
        <v>1</v>
      </c>
      <c r="AK551" s="3">
        <v>0</v>
      </c>
      <c r="AL551" s="3">
        <v>0</v>
      </c>
      <c r="AM551" s="3">
        <v>0</v>
      </c>
      <c r="AN551" s="3">
        <v>1</v>
      </c>
      <c r="AO551" s="3">
        <v>1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1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1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7" t="s">
        <v>1495</v>
      </c>
      <c r="BX551" s="7" t="s">
        <v>1496</v>
      </c>
    </row>
    <row r="552" spans="1:76" ht="34">
      <c r="A552" s="3" t="s">
        <v>1497</v>
      </c>
      <c r="B552" s="3">
        <v>6339</v>
      </c>
      <c r="C552" s="3" t="s">
        <v>1498</v>
      </c>
      <c r="D552" s="3">
        <v>1</v>
      </c>
      <c r="E552" s="4">
        <v>59</v>
      </c>
      <c r="F552" s="3" t="s">
        <v>87</v>
      </c>
      <c r="G552" s="3">
        <v>0</v>
      </c>
      <c r="H552" s="3">
        <v>0</v>
      </c>
      <c r="I552" s="4">
        <v>2</v>
      </c>
      <c r="J552" s="4">
        <v>0</v>
      </c>
      <c r="K552" s="4">
        <v>2</v>
      </c>
      <c r="L552" s="5">
        <f>IF(F552="F",65.79,IF(F552="M",79.94,""))</f>
        <v>65.790000000000006</v>
      </c>
      <c r="M552" s="3">
        <f t="shared" si="56"/>
        <v>0</v>
      </c>
      <c r="N552" s="3" t="str">
        <f t="shared" si="57"/>
        <v>VSC-non-halitosis</v>
      </c>
      <c r="O552" s="3" t="str">
        <f t="shared" si="58"/>
        <v>Clinical- / VSC-</v>
      </c>
      <c r="P552" s="5">
        <f t="shared" si="59"/>
        <v>0.69314718055994529</v>
      </c>
      <c r="Q552" s="5">
        <f t="shared" si="60"/>
        <v>1.0986122886681098</v>
      </c>
      <c r="R552" s="5">
        <f t="shared" si="60"/>
        <v>0</v>
      </c>
      <c r="S552" s="5">
        <f t="shared" si="61"/>
        <v>0</v>
      </c>
      <c r="T552" s="3">
        <f t="shared" si="62"/>
        <v>0</v>
      </c>
      <c r="U552" s="3" t="s">
        <v>102</v>
      </c>
      <c r="V552" s="3">
        <v>1</v>
      </c>
      <c r="W552" s="6">
        <v>6.8</v>
      </c>
      <c r="X552" s="4">
        <v>10</v>
      </c>
      <c r="Y552" s="5">
        <v>0.5</v>
      </c>
      <c r="Z552" s="5">
        <v>2</v>
      </c>
      <c r="AA552" s="3" t="s">
        <v>80</v>
      </c>
      <c r="AB552" s="3">
        <v>0</v>
      </c>
      <c r="AC552" s="3" t="s">
        <v>81</v>
      </c>
      <c r="AD552" s="3">
        <v>0</v>
      </c>
      <c r="AE552" s="3" t="s">
        <v>82</v>
      </c>
      <c r="AF552" s="3">
        <v>1</v>
      </c>
      <c r="AG552" s="3" t="s">
        <v>82</v>
      </c>
      <c r="AH552" s="3">
        <v>1</v>
      </c>
      <c r="AI552" s="3">
        <v>2</v>
      </c>
      <c r="AJ552" s="3">
        <v>2</v>
      </c>
      <c r="AK552" s="3">
        <v>1</v>
      </c>
      <c r="AL552" s="3">
        <v>1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1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1</v>
      </c>
      <c r="BJ552" s="3">
        <v>1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7" t="s">
        <v>1499</v>
      </c>
      <c r="BX552" s="7" t="s">
        <v>1500</v>
      </c>
    </row>
    <row r="553" spans="1:76">
      <c r="A553" s="3" t="s">
        <v>1501</v>
      </c>
      <c r="B553" s="3">
        <v>6385</v>
      </c>
      <c r="C553" s="3" t="s">
        <v>1502</v>
      </c>
      <c r="D553" s="3">
        <v>1</v>
      </c>
      <c r="E553" s="4">
        <v>69</v>
      </c>
      <c r="F553" s="3" t="s">
        <v>87</v>
      </c>
      <c r="G553" s="3">
        <v>0</v>
      </c>
      <c r="H553" s="3">
        <v>0</v>
      </c>
      <c r="I553" s="4">
        <v>0</v>
      </c>
      <c r="J553" s="4">
        <v>1</v>
      </c>
      <c r="K553" s="4">
        <v>1</v>
      </c>
      <c r="L553" s="5">
        <f>IF(F553="F",65.79,IF(F553="M",79.94,""))</f>
        <v>65.790000000000006</v>
      </c>
      <c r="M553" s="3">
        <f t="shared" si="56"/>
        <v>0</v>
      </c>
      <c r="N553" s="3" t="str">
        <f t="shared" si="57"/>
        <v>VSC-non-halitosis</v>
      </c>
      <c r="O553" s="3" t="str">
        <f t="shared" si="58"/>
        <v>Clinical- / VSC-</v>
      </c>
      <c r="P553" s="5">
        <f t="shared" si="59"/>
        <v>0</v>
      </c>
      <c r="Q553" s="5">
        <f t="shared" si="60"/>
        <v>0</v>
      </c>
      <c r="R553" s="5">
        <f t="shared" si="60"/>
        <v>0.69314718055994529</v>
      </c>
      <c r="S553" s="5">
        <f t="shared" si="61"/>
        <v>1</v>
      </c>
      <c r="T553" s="3">
        <f t="shared" si="62"/>
        <v>1</v>
      </c>
      <c r="U553" s="3" t="s">
        <v>102</v>
      </c>
      <c r="V553" s="3">
        <v>1</v>
      </c>
      <c r="W553" s="6">
        <v>6.2</v>
      </c>
      <c r="X553" s="4">
        <v>9</v>
      </c>
      <c r="Y553" s="5">
        <v>0.35</v>
      </c>
      <c r="Z553" s="5">
        <v>1</v>
      </c>
      <c r="AA553" s="3" t="s">
        <v>80</v>
      </c>
      <c r="AB553" s="3">
        <v>0</v>
      </c>
      <c r="AC553" s="3" t="s">
        <v>81</v>
      </c>
      <c r="AD553" s="3">
        <v>0</v>
      </c>
      <c r="AE553" s="3" t="s">
        <v>82</v>
      </c>
      <c r="AF553" s="3">
        <v>1</v>
      </c>
      <c r="AG553" s="3" t="s">
        <v>82</v>
      </c>
      <c r="AH553" s="3">
        <v>1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7" t="s">
        <v>80</v>
      </c>
      <c r="BX553" s="7" t="s">
        <v>80</v>
      </c>
    </row>
    <row r="554" spans="1:76">
      <c r="A554" s="3" t="s">
        <v>1503</v>
      </c>
      <c r="B554" s="3">
        <v>6403</v>
      </c>
      <c r="C554" s="3" t="s">
        <v>1504</v>
      </c>
      <c r="D554" s="3">
        <v>2</v>
      </c>
      <c r="E554" s="4">
        <v>18</v>
      </c>
      <c r="F554" s="3" t="s">
        <v>78</v>
      </c>
      <c r="G554" s="3">
        <v>1</v>
      </c>
      <c r="H554" s="3">
        <v>0</v>
      </c>
      <c r="I554" s="4">
        <v>14</v>
      </c>
      <c r="J554" s="4">
        <v>0</v>
      </c>
      <c r="K554" s="4">
        <v>14</v>
      </c>
      <c r="L554" s="5">
        <f>IF(F554="F",65.79,IF(F554="M",79.94,""))</f>
        <v>79.94</v>
      </c>
      <c r="M554" s="3">
        <f t="shared" si="56"/>
        <v>0</v>
      </c>
      <c r="N554" s="3" t="str">
        <f t="shared" si="57"/>
        <v>VSC-non-halitosis</v>
      </c>
      <c r="O554" s="3" t="str">
        <f t="shared" si="58"/>
        <v>Clinical+ / VSC-</v>
      </c>
      <c r="P554" s="5">
        <f t="shared" si="59"/>
        <v>2.6390573296152584</v>
      </c>
      <c r="Q554" s="5">
        <f t="shared" si="60"/>
        <v>2.7080502011022101</v>
      </c>
      <c r="R554" s="5">
        <f t="shared" si="60"/>
        <v>0</v>
      </c>
      <c r="S554" s="5">
        <f t="shared" si="61"/>
        <v>0</v>
      </c>
      <c r="T554" s="3">
        <f t="shared" si="62"/>
        <v>0</v>
      </c>
      <c r="U554" s="3" t="s">
        <v>79</v>
      </c>
      <c r="V554" s="3">
        <v>2</v>
      </c>
      <c r="W554" s="6">
        <v>6.6</v>
      </c>
      <c r="X554" s="4">
        <v>9</v>
      </c>
      <c r="Y554" s="5">
        <v>0.3</v>
      </c>
      <c r="Z554" s="5">
        <v>0.6</v>
      </c>
      <c r="AA554" s="3" t="s">
        <v>80</v>
      </c>
      <c r="AB554" s="3">
        <v>0</v>
      </c>
      <c r="AC554" s="3" t="s">
        <v>113</v>
      </c>
      <c r="AD554" s="3">
        <v>0</v>
      </c>
      <c r="AE554" s="3" t="s">
        <v>98</v>
      </c>
      <c r="AF554" s="3">
        <v>0</v>
      </c>
      <c r="AG554" s="3" t="s">
        <v>103</v>
      </c>
      <c r="AH554" s="3">
        <v>1</v>
      </c>
      <c r="AI554" s="3">
        <v>1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1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7" t="s">
        <v>1505</v>
      </c>
      <c r="BX554" s="7" t="s">
        <v>1506</v>
      </c>
    </row>
    <row r="555" spans="1:76">
      <c r="A555" s="3" t="s">
        <v>1507</v>
      </c>
      <c r="B555" s="3">
        <v>6403</v>
      </c>
      <c r="C555" s="3" t="s">
        <v>1504</v>
      </c>
      <c r="D555" s="3">
        <v>2</v>
      </c>
      <c r="E555" s="4">
        <v>18</v>
      </c>
      <c r="F555" s="3" t="s">
        <v>78</v>
      </c>
      <c r="G555" s="3">
        <v>1</v>
      </c>
      <c r="H555" s="3">
        <v>0</v>
      </c>
      <c r="I555" s="4">
        <v>2</v>
      </c>
      <c r="J555" s="4">
        <v>0</v>
      </c>
      <c r="K555" s="4">
        <v>2</v>
      </c>
      <c r="L555" s="5">
        <f>IF(F555="F",65.79,IF(F555="M",79.94,""))</f>
        <v>79.94</v>
      </c>
      <c r="M555" s="3">
        <f t="shared" si="56"/>
        <v>0</v>
      </c>
      <c r="N555" s="3" t="str">
        <f t="shared" si="57"/>
        <v>VSC-non-halitosis</v>
      </c>
      <c r="O555" s="3" t="str">
        <f t="shared" si="58"/>
        <v>Clinical+ / VSC-</v>
      </c>
      <c r="P555" s="5">
        <f t="shared" si="59"/>
        <v>0.69314718055994529</v>
      </c>
      <c r="Q555" s="5">
        <f t="shared" si="60"/>
        <v>1.0986122886681098</v>
      </c>
      <c r="R555" s="5">
        <f t="shared" si="60"/>
        <v>0</v>
      </c>
      <c r="S555" s="5">
        <f t="shared" si="61"/>
        <v>0</v>
      </c>
      <c r="T555" s="3">
        <f t="shared" si="62"/>
        <v>0</v>
      </c>
      <c r="U555" s="3" t="s">
        <v>102</v>
      </c>
      <c r="V555" s="3">
        <v>1</v>
      </c>
      <c r="W555" s="6">
        <v>6.6</v>
      </c>
      <c r="X555" s="4">
        <v>9</v>
      </c>
      <c r="Y555" s="5">
        <v>0.3</v>
      </c>
      <c r="Z555" s="5">
        <v>0.6</v>
      </c>
      <c r="AA555" s="3" t="s">
        <v>80</v>
      </c>
      <c r="AB555" s="3">
        <v>0</v>
      </c>
      <c r="AC555" s="3" t="s">
        <v>113</v>
      </c>
      <c r="AD555" s="3">
        <v>0</v>
      </c>
      <c r="AE555" s="3" t="s">
        <v>98</v>
      </c>
      <c r="AF555" s="3">
        <v>0</v>
      </c>
      <c r="AG555" s="3" t="s">
        <v>103</v>
      </c>
      <c r="AH555" s="3">
        <v>1</v>
      </c>
      <c r="AI555" s="3">
        <v>1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1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7" t="s">
        <v>1505</v>
      </c>
      <c r="BX555" s="7" t="s">
        <v>1506</v>
      </c>
    </row>
    <row r="556" spans="1:76">
      <c r="A556" s="3" t="s">
        <v>1508</v>
      </c>
      <c r="B556" s="3">
        <v>6408</v>
      </c>
      <c r="C556" s="3" t="s">
        <v>1509</v>
      </c>
      <c r="D556" s="3">
        <v>3</v>
      </c>
      <c r="E556" s="4">
        <v>30</v>
      </c>
      <c r="F556" s="3" t="s">
        <v>87</v>
      </c>
      <c r="G556" s="3">
        <v>1</v>
      </c>
      <c r="H556" s="3">
        <v>0</v>
      </c>
      <c r="I556" s="4">
        <v>18</v>
      </c>
      <c r="J556" s="4">
        <v>1</v>
      </c>
      <c r="K556" s="4">
        <v>19</v>
      </c>
      <c r="L556" s="5">
        <f>IF(F556="F",65.79,IF(F556="M",79.94,""))</f>
        <v>65.790000000000006</v>
      </c>
      <c r="M556" s="3">
        <f t="shared" si="56"/>
        <v>0</v>
      </c>
      <c r="N556" s="3" t="str">
        <f t="shared" si="57"/>
        <v>VSC-non-halitosis</v>
      </c>
      <c r="O556" s="3" t="str">
        <f t="shared" si="58"/>
        <v>Clinical+ / VSC-</v>
      </c>
      <c r="P556" s="5">
        <f t="shared" si="59"/>
        <v>2.9444389791664403</v>
      </c>
      <c r="Q556" s="5">
        <f t="shared" si="60"/>
        <v>2.9444389791664403</v>
      </c>
      <c r="R556" s="5">
        <f t="shared" si="60"/>
        <v>0.69314718055994529</v>
      </c>
      <c r="S556" s="5">
        <f t="shared" si="61"/>
        <v>5.2631578947368418E-2</v>
      </c>
      <c r="T556" s="3">
        <f t="shared" si="62"/>
        <v>0</v>
      </c>
      <c r="U556" s="3" t="s">
        <v>79</v>
      </c>
      <c r="V556" s="3">
        <v>2</v>
      </c>
      <c r="W556" s="6">
        <v>6.2</v>
      </c>
      <c r="X556" s="4">
        <v>9</v>
      </c>
      <c r="Y556" s="5">
        <v>0.25</v>
      </c>
      <c r="Z556" s="5">
        <v>1.6</v>
      </c>
      <c r="AA556" s="3" t="s">
        <v>108</v>
      </c>
      <c r="AB556" s="3">
        <v>1</v>
      </c>
      <c r="AC556" s="3" t="s">
        <v>81</v>
      </c>
      <c r="AD556" s="3">
        <v>0</v>
      </c>
      <c r="AE556" s="3" t="s">
        <v>82</v>
      </c>
      <c r="AF556" s="3">
        <v>1</v>
      </c>
      <c r="AG556" s="3" t="s">
        <v>82</v>
      </c>
      <c r="AH556" s="3">
        <v>1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7" t="s">
        <v>80</v>
      </c>
      <c r="BX556" s="7" t="s">
        <v>80</v>
      </c>
    </row>
    <row r="557" spans="1:76">
      <c r="A557" s="3" t="s">
        <v>1510</v>
      </c>
      <c r="B557" s="3">
        <v>6408</v>
      </c>
      <c r="C557" s="3" t="s">
        <v>1509</v>
      </c>
      <c r="D557" s="3">
        <v>3</v>
      </c>
      <c r="E557" s="4">
        <v>30</v>
      </c>
      <c r="F557" s="3" t="s">
        <v>87</v>
      </c>
      <c r="G557" s="3">
        <v>1</v>
      </c>
      <c r="H557" s="3">
        <v>0</v>
      </c>
      <c r="I557" s="4">
        <v>0</v>
      </c>
      <c r="J557" s="4">
        <v>1</v>
      </c>
      <c r="K557" s="4">
        <v>1</v>
      </c>
      <c r="L557" s="5">
        <f>IF(F557="F",65.79,IF(F557="M",79.94,""))</f>
        <v>65.790000000000006</v>
      </c>
      <c r="M557" s="3">
        <f t="shared" si="56"/>
        <v>0</v>
      </c>
      <c r="N557" s="3" t="str">
        <f t="shared" si="57"/>
        <v>VSC-non-halitosis</v>
      </c>
      <c r="O557" s="3" t="str">
        <f t="shared" si="58"/>
        <v>Clinical+ / VSC-</v>
      </c>
      <c r="P557" s="5">
        <f t="shared" si="59"/>
        <v>0</v>
      </c>
      <c r="Q557" s="5">
        <f t="shared" si="60"/>
        <v>0</v>
      </c>
      <c r="R557" s="5">
        <f t="shared" si="60"/>
        <v>0.69314718055994529</v>
      </c>
      <c r="S557" s="5">
        <f t="shared" si="61"/>
        <v>1</v>
      </c>
      <c r="T557" s="3">
        <f t="shared" si="62"/>
        <v>1</v>
      </c>
      <c r="U557" s="3" t="s">
        <v>102</v>
      </c>
      <c r="V557" s="3">
        <v>1</v>
      </c>
      <c r="W557" s="6">
        <v>6.2</v>
      </c>
      <c r="X557" s="4">
        <v>9</v>
      </c>
      <c r="Y557" s="5">
        <v>0.25</v>
      </c>
      <c r="Z557" s="5">
        <v>1.6</v>
      </c>
      <c r="AA557" s="3" t="s">
        <v>108</v>
      </c>
      <c r="AB557" s="3">
        <v>1</v>
      </c>
      <c r="AC557" s="3" t="s">
        <v>81</v>
      </c>
      <c r="AD557" s="3">
        <v>0</v>
      </c>
      <c r="AE557" s="3" t="s">
        <v>82</v>
      </c>
      <c r="AF557" s="3">
        <v>1</v>
      </c>
      <c r="AG557" s="3" t="s">
        <v>82</v>
      </c>
      <c r="AH557" s="3">
        <v>1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7" t="s">
        <v>80</v>
      </c>
      <c r="BX557" s="7" t="s">
        <v>80</v>
      </c>
    </row>
    <row r="558" spans="1:76">
      <c r="A558" s="3" t="s">
        <v>1511</v>
      </c>
      <c r="B558" s="3">
        <v>6408</v>
      </c>
      <c r="C558" s="3" t="s">
        <v>1509</v>
      </c>
      <c r="D558" s="3">
        <v>3</v>
      </c>
      <c r="E558" s="4">
        <v>30</v>
      </c>
      <c r="F558" s="3" t="s">
        <v>87</v>
      </c>
      <c r="G558" s="3">
        <v>1</v>
      </c>
      <c r="H558" s="3">
        <v>0</v>
      </c>
      <c r="I558" s="4">
        <v>15</v>
      </c>
      <c r="J558" s="4">
        <v>0</v>
      </c>
      <c r="K558" s="4">
        <v>15</v>
      </c>
      <c r="L558" s="5">
        <f>IF(F558="F",65.79,IF(F558="M",79.94,""))</f>
        <v>65.790000000000006</v>
      </c>
      <c r="M558" s="3">
        <f t="shared" si="56"/>
        <v>0</v>
      </c>
      <c r="N558" s="3" t="str">
        <f t="shared" si="57"/>
        <v>VSC-non-halitosis</v>
      </c>
      <c r="O558" s="3" t="str">
        <f t="shared" si="58"/>
        <v>Clinical+ / VSC-</v>
      </c>
      <c r="P558" s="5">
        <f t="shared" si="59"/>
        <v>2.7080502011022101</v>
      </c>
      <c r="Q558" s="5">
        <f t="shared" si="60"/>
        <v>2.7725887222397811</v>
      </c>
      <c r="R558" s="5">
        <f t="shared" si="60"/>
        <v>0</v>
      </c>
      <c r="S558" s="5">
        <f t="shared" si="61"/>
        <v>0</v>
      </c>
      <c r="T558" s="3">
        <f t="shared" si="62"/>
        <v>0</v>
      </c>
      <c r="U558" s="3" t="s">
        <v>79</v>
      </c>
      <c r="V558" s="3">
        <v>2</v>
      </c>
      <c r="W558" s="6">
        <v>6.2</v>
      </c>
      <c r="X558" s="4">
        <v>9</v>
      </c>
      <c r="Y558" s="5">
        <v>0.25</v>
      </c>
      <c r="Z558" s="5">
        <v>1.6</v>
      </c>
      <c r="AA558" s="3" t="s">
        <v>108</v>
      </c>
      <c r="AB558" s="3">
        <v>1</v>
      </c>
      <c r="AC558" s="3" t="s">
        <v>81</v>
      </c>
      <c r="AD558" s="3">
        <v>0</v>
      </c>
      <c r="AE558" s="3" t="s">
        <v>82</v>
      </c>
      <c r="AF558" s="3">
        <v>1</v>
      </c>
      <c r="AG558" s="3" t="s">
        <v>82</v>
      </c>
      <c r="AH558" s="3">
        <v>1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7" t="s">
        <v>80</v>
      </c>
      <c r="BX558" s="7" t="s">
        <v>80</v>
      </c>
    </row>
    <row r="559" spans="1:76">
      <c r="A559" s="3" t="s">
        <v>1512</v>
      </c>
      <c r="B559" s="3">
        <v>6424</v>
      </c>
      <c r="C559" s="3" t="s">
        <v>1513</v>
      </c>
      <c r="D559" s="3">
        <v>1</v>
      </c>
      <c r="E559" s="4">
        <v>81</v>
      </c>
      <c r="F559" s="3" t="s">
        <v>78</v>
      </c>
      <c r="G559" s="3">
        <v>0</v>
      </c>
      <c r="H559" s="3">
        <v>0</v>
      </c>
      <c r="I559" s="4">
        <v>2</v>
      </c>
      <c r="J559" s="4">
        <v>1</v>
      </c>
      <c r="K559" s="4">
        <v>3</v>
      </c>
      <c r="L559" s="5">
        <f>IF(F559="F",65.79,IF(F559="M",79.94,""))</f>
        <v>79.94</v>
      </c>
      <c r="M559" s="3">
        <f t="shared" si="56"/>
        <v>0</v>
      </c>
      <c r="N559" s="3" t="str">
        <f t="shared" si="57"/>
        <v>VSC-non-halitosis</v>
      </c>
      <c r="O559" s="3" t="str">
        <f t="shared" si="58"/>
        <v>Clinical- / VSC-</v>
      </c>
      <c r="P559" s="5">
        <f t="shared" si="59"/>
        <v>1.0986122886681098</v>
      </c>
      <c r="Q559" s="5">
        <f t="shared" si="60"/>
        <v>1.0986122886681098</v>
      </c>
      <c r="R559" s="5">
        <f t="shared" si="60"/>
        <v>0.69314718055994529</v>
      </c>
      <c r="S559" s="5">
        <f t="shared" si="61"/>
        <v>0.33333333333333331</v>
      </c>
      <c r="T559" s="3">
        <f t="shared" si="62"/>
        <v>0</v>
      </c>
      <c r="U559" s="3" t="s">
        <v>102</v>
      </c>
      <c r="V559" s="3">
        <v>1</v>
      </c>
      <c r="W559" s="6">
        <v>7.6</v>
      </c>
      <c r="X559" s="4">
        <v>12</v>
      </c>
      <c r="Y559" s="5">
        <v>1</v>
      </c>
      <c r="Z559" s="5">
        <v>1.8</v>
      </c>
      <c r="AA559" s="3" t="s">
        <v>108</v>
      </c>
      <c r="AB559" s="3">
        <v>1</v>
      </c>
      <c r="AC559" s="3" t="s">
        <v>138</v>
      </c>
      <c r="AD559" s="3">
        <v>1</v>
      </c>
      <c r="AE559" s="3" t="s">
        <v>82</v>
      </c>
      <c r="AF559" s="3">
        <v>1</v>
      </c>
      <c r="AG559" s="3" t="s">
        <v>103</v>
      </c>
      <c r="AH559" s="3">
        <v>1</v>
      </c>
      <c r="AI559" s="3">
        <v>3</v>
      </c>
      <c r="AJ559" s="3">
        <v>1</v>
      </c>
      <c r="AK559" s="3">
        <v>0</v>
      </c>
      <c r="AL559" s="3">
        <v>1</v>
      </c>
      <c r="AM559" s="3">
        <v>1</v>
      </c>
      <c r="AN559" s="3">
        <v>1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1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7" t="s">
        <v>134</v>
      </c>
      <c r="BX559" s="7" t="s">
        <v>337</v>
      </c>
    </row>
    <row r="560" spans="1:76">
      <c r="A560" s="3" t="s">
        <v>1514</v>
      </c>
      <c r="B560" s="3">
        <v>6425</v>
      </c>
      <c r="C560" s="3" t="s">
        <v>1515</v>
      </c>
      <c r="D560" s="3">
        <v>1</v>
      </c>
      <c r="E560" s="4">
        <v>41</v>
      </c>
      <c r="F560" s="3" t="s">
        <v>87</v>
      </c>
      <c r="G560" s="3">
        <v>0</v>
      </c>
      <c r="H560" s="3">
        <v>1</v>
      </c>
      <c r="I560" s="4">
        <v>8</v>
      </c>
      <c r="J560" s="4">
        <v>2</v>
      </c>
      <c r="K560" s="4">
        <v>10</v>
      </c>
      <c r="L560" s="5">
        <f>IF(F560="F",65.79,IF(F560="M",79.94,""))</f>
        <v>65.790000000000006</v>
      </c>
      <c r="M560" s="3">
        <f t="shared" si="56"/>
        <v>0</v>
      </c>
      <c r="N560" s="3" t="str">
        <f t="shared" si="57"/>
        <v>VSC-non-halitosis</v>
      </c>
      <c r="O560" s="3" t="str">
        <f t="shared" si="58"/>
        <v>Clinical- / VSC-</v>
      </c>
      <c r="P560" s="5">
        <f t="shared" si="59"/>
        <v>2.3025850929940459</v>
      </c>
      <c r="Q560" s="5">
        <f t="shared" si="60"/>
        <v>2.1972245773362196</v>
      </c>
      <c r="R560" s="5">
        <f t="shared" si="60"/>
        <v>1.0986122886681098</v>
      </c>
      <c r="S560" s="5">
        <f t="shared" si="61"/>
        <v>0.2</v>
      </c>
      <c r="T560" s="3">
        <f t="shared" si="62"/>
        <v>0</v>
      </c>
      <c r="U560" s="3" t="s">
        <v>79</v>
      </c>
      <c r="V560" s="3">
        <v>2</v>
      </c>
      <c r="W560" s="6">
        <v>7.8</v>
      </c>
      <c r="X560" s="4">
        <v>12</v>
      </c>
      <c r="Y560" s="5">
        <v>1</v>
      </c>
      <c r="Z560" s="5">
        <v>1.8</v>
      </c>
      <c r="AA560" s="3" t="s">
        <v>80</v>
      </c>
      <c r="AB560" s="3">
        <v>0</v>
      </c>
      <c r="AC560" s="3" t="s">
        <v>113</v>
      </c>
      <c r="AD560" s="3">
        <v>0</v>
      </c>
      <c r="AE560" s="3" t="s">
        <v>82</v>
      </c>
      <c r="AF560" s="3">
        <v>1</v>
      </c>
      <c r="AG560" s="3" t="s">
        <v>98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7" t="s">
        <v>80</v>
      </c>
      <c r="BX560" s="7" t="s">
        <v>80</v>
      </c>
    </row>
    <row r="561" spans="1:76">
      <c r="A561" s="3" t="s">
        <v>1516</v>
      </c>
      <c r="B561" s="3">
        <v>6440</v>
      </c>
      <c r="C561" s="3" t="s">
        <v>1517</v>
      </c>
      <c r="D561" s="3">
        <v>1</v>
      </c>
      <c r="E561" s="4">
        <v>44</v>
      </c>
      <c r="F561" s="3" t="s">
        <v>78</v>
      </c>
      <c r="G561" s="3">
        <v>0</v>
      </c>
      <c r="H561" s="3">
        <v>0</v>
      </c>
      <c r="I561" s="4">
        <v>51</v>
      </c>
      <c r="J561" s="4">
        <v>1</v>
      </c>
      <c r="K561" s="4">
        <v>52</v>
      </c>
      <c r="L561" s="5">
        <f>IF(F561="F",65.79,IF(F561="M",79.94,""))</f>
        <v>79.94</v>
      </c>
      <c r="M561" s="3">
        <f t="shared" si="56"/>
        <v>0</v>
      </c>
      <c r="N561" s="3" t="str">
        <f t="shared" si="57"/>
        <v>VSC-non-halitosis</v>
      </c>
      <c r="O561" s="3" t="str">
        <f t="shared" si="58"/>
        <v>Clinical- / VSC-</v>
      </c>
      <c r="P561" s="5">
        <f t="shared" si="59"/>
        <v>3.9512437185814275</v>
      </c>
      <c r="Q561" s="5">
        <f t="shared" si="60"/>
        <v>3.9512437185814275</v>
      </c>
      <c r="R561" s="5">
        <f t="shared" si="60"/>
        <v>0.69314718055994529</v>
      </c>
      <c r="S561" s="5">
        <f t="shared" si="61"/>
        <v>1.9230769230769232E-2</v>
      </c>
      <c r="T561" s="3">
        <f t="shared" si="62"/>
        <v>0</v>
      </c>
      <c r="U561" s="3" t="s">
        <v>96</v>
      </c>
      <c r="V561" s="3">
        <v>3</v>
      </c>
      <c r="W561" s="6">
        <v>6.4</v>
      </c>
      <c r="X561" s="4">
        <v>9</v>
      </c>
      <c r="Y561" s="5">
        <v>0.5</v>
      </c>
      <c r="Z561" s="5">
        <v>1</v>
      </c>
      <c r="AA561" s="3" t="s">
        <v>80</v>
      </c>
      <c r="AB561" s="3">
        <v>0</v>
      </c>
      <c r="AC561" s="3" t="s">
        <v>81</v>
      </c>
      <c r="AD561" s="3">
        <v>0</v>
      </c>
      <c r="AE561" s="3" t="s">
        <v>98</v>
      </c>
      <c r="AF561" s="3">
        <v>0</v>
      </c>
      <c r="AG561" s="3" t="s">
        <v>98</v>
      </c>
      <c r="AH561" s="3">
        <v>0</v>
      </c>
      <c r="AI561" s="3">
        <v>1</v>
      </c>
      <c r="AJ561" s="3">
        <v>1</v>
      </c>
      <c r="AK561" s="3">
        <v>0</v>
      </c>
      <c r="AL561" s="3">
        <v>0</v>
      </c>
      <c r="AM561" s="3">
        <v>0</v>
      </c>
      <c r="AN561" s="3">
        <v>1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1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7" t="s">
        <v>1518</v>
      </c>
      <c r="BX561" s="7" t="s">
        <v>1519</v>
      </c>
    </row>
    <row r="562" spans="1:76">
      <c r="A562" s="3" t="s">
        <v>1520</v>
      </c>
      <c r="B562" s="3">
        <v>6470</v>
      </c>
      <c r="C562" s="3" t="s">
        <v>1521</v>
      </c>
      <c r="D562" s="3">
        <v>1</v>
      </c>
      <c r="E562" s="4">
        <v>30</v>
      </c>
      <c r="F562" s="3" t="s">
        <v>87</v>
      </c>
      <c r="G562" s="3">
        <v>0</v>
      </c>
      <c r="H562" s="3">
        <v>0</v>
      </c>
      <c r="I562" s="4">
        <v>0</v>
      </c>
      <c r="J562" s="4">
        <v>1</v>
      </c>
      <c r="K562" s="4">
        <v>1</v>
      </c>
      <c r="L562" s="5">
        <f>IF(F562="F",65.79,IF(F562="M",79.94,""))</f>
        <v>65.790000000000006</v>
      </c>
      <c r="M562" s="3">
        <f t="shared" si="56"/>
        <v>0</v>
      </c>
      <c r="N562" s="3" t="str">
        <f t="shared" si="57"/>
        <v>VSC-non-halitosis</v>
      </c>
      <c r="O562" s="3" t="str">
        <f t="shared" si="58"/>
        <v>Clinical- / VSC-</v>
      </c>
      <c r="P562" s="5">
        <f t="shared" si="59"/>
        <v>0</v>
      </c>
      <c r="Q562" s="5">
        <f t="shared" si="60"/>
        <v>0</v>
      </c>
      <c r="R562" s="5">
        <f t="shared" si="60"/>
        <v>0.69314718055994529</v>
      </c>
      <c r="S562" s="5">
        <f t="shared" si="61"/>
        <v>1</v>
      </c>
      <c r="T562" s="3">
        <f t="shared" si="62"/>
        <v>1</v>
      </c>
      <c r="U562" s="3" t="s">
        <v>102</v>
      </c>
      <c r="V562" s="3">
        <v>1</v>
      </c>
      <c r="W562" s="6">
        <v>7.6</v>
      </c>
      <c r="X562" s="4">
        <v>12</v>
      </c>
      <c r="Y562" s="5">
        <v>0.85</v>
      </c>
      <c r="Z562" s="5">
        <v>1.5</v>
      </c>
      <c r="AA562" s="3" t="s">
        <v>80</v>
      </c>
      <c r="AB562" s="3">
        <v>0</v>
      </c>
      <c r="AC562" s="3" t="s">
        <v>113</v>
      </c>
      <c r="AD562" s="3">
        <v>0</v>
      </c>
      <c r="AE562" s="3" t="s">
        <v>98</v>
      </c>
      <c r="AF562" s="3">
        <v>0</v>
      </c>
      <c r="AG562" s="3" t="s">
        <v>98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7" t="s">
        <v>80</v>
      </c>
      <c r="BX562" s="7" t="s">
        <v>80</v>
      </c>
    </row>
    <row r="563" spans="1:76" ht="34">
      <c r="A563" s="3" t="s">
        <v>1522</v>
      </c>
      <c r="B563" s="3">
        <v>6938</v>
      </c>
      <c r="C563" s="3" t="s">
        <v>1523</v>
      </c>
      <c r="D563" s="3">
        <v>1</v>
      </c>
      <c r="E563" s="4">
        <v>79</v>
      </c>
      <c r="F563" s="3" t="s">
        <v>87</v>
      </c>
      <c r="G563" s="3">
        <v>0</v>
      </c>
      <c r="H563" s="3">
        <v>0</v>
      </c>
      <c r="I563" s="4">
        <v>6</v>
      </c>
      <c r="J563" s="4">
        <v>1</v>
      </c>
      <c r="K563" s="4">
        <v>7</v>
      </c>
      <c r="L563" s="5">
        <f>IF(F563="F",65.79,IF(F563="M",79.94,""))</f>
        <v>65.790000000000006</v>
      </c>
      <c r="M563" s="3">
        <f t="shared" si="56"/>
        <v>0</v>
      </c>
      <c r="N563" s="3" t="str">
        <f t="shared" si="57"/>
        <v>VSC-non-halitosis</v>
      </c>
      <c r="O563" s="3" t="str">
        <f t="shared" si="58"/>
        <v>Clinical- / VSC-</v>
      </c>
      <c r="P563" s="5">
        <f t="shared" si="59"/>
        <v>1.9459101490553132</v>
      </c>
      <c r="Q563" s="5">
        <f t="shared" si="60"/>
        <v>1.9459101490553132</v>
      </c>
      <c r="R563" s="5">
        <f t="shared" si="60"/>
        <v>0.69314718055994529</v>
      </c>
      <c r="S563" s="5">
        <f t="shared" si="61"/>
        <v>0.14285714285714285</v>
      </c>
      <c r="T563" s="3">
        <f t="shared" si="62"/>
        <v>0</v>
      </c>
      <c r="U563" s="3" t="s">
        <v>79</v>
      </c>
      <c r="V563" s="3">
        <v>2</v>
      </c>
      <c r="W563" s="6">
        <v>7.4</v>
      </c>
      <c r="X563" s="4">
        <v>9</v>
      </c>
      <c r="Y563" s="5">
        <v>0.5</v>
      </c>
      <c r="Z563" s="5">
        <v>1</v>
      </c>
      <c r="AA563" s="3" t="s">
        <v>80</v>
      </c>
      <c r="AB563" s="3">
        <v>0</v>
      </c>
      <c r="AC563" s="3" t="s">
        <v>81</v>
      </c>
      <c r="AD563" s="3">
        <v>0</v>
      </c>
      <c r="AE563" s="3" t="s">
        <v>82</v>
      </c>
      <c r="AF563" s="3">
        <v>1</v>
      </c>
      <c r="AG563" s="3" t="s">
        <v>82</v>
      </c>
      <c r="AH563" s="3">
        <v>1</v>
      </c>
      <c r="AI563" s="3">
        <v>3</v>
      </c>
      <c r="AJ563" s="3">
        <v>3</v>
      </c>
      <c r="AK563" s="3">
        <v>0</v>
      </c>
      <c r="AL563" s="3">
        <v>0</v>
      </c>
      <c r="AM563" s="3">
        <v>1</v>
      </c>
      <c r="AN563" s="3">
        <v>1</v>
      </c>
      <c r="AO563" s="3">
        <v>0</v>
      </c>
      <c r="AP563" s="3">
        <v>0</v>
      </c>
      <c r="AQ563" s="3">
        <v>1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1</v>
      </c>
      <c r="BG563" s="3">
        <v>0</v>
      </c>
      <c r="BH563" s="3">
        <v>1</v>
      </c>
      <c r="BI563" s="3">
        <v>0</v>
      </c>
      <c r="BJ563" s="3">
        <v>0</v>
      </c>
      <c r="BK563" s="3">
        <v>1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7" t="s">
        <v>1524</v>
      </c>
      <c r="BX563" s="7" t="s">
        <v>1525</v>
      </c>
    </row>
    <row r="564" spans="1:76">
      <c r="A564" s="3" t="s">
        <v>1526</v>
      </c>
      <c r="B564" s="3">
        <v>6515</v>
      </c>
      <c r="C564" s="3" t="s">
        <v>1527</v>
      </c>
      <c r="D564" s="3">
        <v>1</v>
      </c>
      <c r="E564" s="4">
        <v>68</v>
      </c>
      <c r="F564" s="3" t="s">
        <v>87</v>
      </c>
      <c r="G564" s="3">
        <v>0</v>
      </c>
      <c r="H564" s="3">
        <v>1</v>
      </c>
      <c r="I564" s="4">
        <v>0</v>
      </c>
      <c r="J564" s="4">
        <v>1</v>
      </c>
      <c r="K564" s="4">
        <v>1</v>
      </c>
      <c r="L564" s="5">
        <f>IF(F564="F",65.79,IF(F564="M",79.94,""))</f>
        <v>65.790000000000006</v>
      </c>
      <c r="M564" s="3">
        <f t="shared" si="56"/>
        <v>0</v>
      </c>
      <c r="N564" s="3" t="str">
        <f t="shared" si="57"/>
        <v>VSC-non-halitosis</v>
      </c>
      <c r="O564" s="3" t="str">
        <f t="shared" si="58"/>
        <v>Clinical- / VSC-</v>
      </c>
      <c r="P564" s="5">
        <f t="shared" si="59"/>
        <v>0</v>
      </c>
      <c r="Q564" s="5">
        <f t="shared" si="60"/>
        <v>0</v>
      </c>
      <c r="R564" s="5">
        <f t="shared" si="60"/>
        <v>0.69314718055994529</v>
      </c>
      <c r="S564" s="5">
        <f t="shared" si="61"/>
        <v>1</v>
      </c>
      <c r="T564" s="3">
        <f t="shared" si="62"/>
        <v>1</v>
      </c>
      <c r="U564" s="3" t="s">
        <v>102</v>
      </c>
      <c r="V564" s="3">
        <v>1</v>
      </c>
      <c r="W564" s="6">
        <v>6.6</v>
      </c>
      <c r="X564" s="4">
        <v>6</v>
      </c>
      <c r="Y564" s="5">
        <v>0.1</v>
      </c>
      <c r="Z564" s="5">
        <v>0.7</v>
      </c>
      <c r="AA564" s="3" t="s">
        <v>80</v>
      </c>
      <c r="AB564" s="3">
        <v>0</v>
      </c>
      <c r="AC564" s="3" t="s">
        <v>81</v>
      </c>
      <c r="AD564" s="3">
        <v>0</v>
      </c>
      <c r="AE564" s="3" t="s">
        <v>82</v>
      </c>
      <c r="AF564" s="3">
        <v>1</v>
      </c>
      <c r="AG564" s="3" t="s">
        <v>98</v>
      </c>
      <c r="AH564" s="3">
        <v>0</v>
      </c>
      <c r="AI564" s="3">
        <v>1</v>
      </c>
      <c r="AJ564" s="3">
        <v>1</v>
      </c>
      <c r="AK564" s="3">
        <v>1</v>
      </c>
      <c r="AL564" s="3">
        <v>1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1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7" t="s">
        <v>80</v>
      </c>
      <c r="BX564" s="7" t="s">
        <v>1528</v>
      </c>
    </row>
    <row r="565" spans="1:76">
      <c r="A565" s="3" t="s">
        <v>1529</v>
      </c>
      <c r="B565" s="3">
        <v>6546</v>
      </c>
      <c r="C565" s="3" t="s">
        <v>1530</v>
      </c>
      <c r="D565" s="3">
        <v>1</v>
      </c>
      <c r="E565" s="4">
        <v>75</v>
      </c>
      <c r="F565" s="3" t="s">
        <v>87</v>
      </c>
      <c r="G565" s="3">
        <v>0</v>
      </c>
      <c r="H565" s="3">
        <v>0</v>
      </c>
      <c r="I565" s="4">
        <v>3</v>
      </c>
      <c r="J565" s="4">
        <v>2</v>
      </c>
      <c r="K565" s="4">
        <v>5</v>
      </c>
      <c r="L565" s="5">
        <f>IF(F565="F",65.79,IF(F565="M",79.94,""))</f>
        <v>65.790000000000006</v>
      </c>
      <c r="M565" s="3">
        <f t="shared" si="56"/>
        <v>0</v>
      </c>
      <c r="N565" s="3" t="str">
        <f t="shared" si="57"/>
        <v>VSC-non-halitosis</v>
      </c>
      <c r="O565" s="3" t="str">
        <f t="shared" si="58"/>
        <v>Clinical- / VSC-</v>
      </c>
      <c r="P565" s="5">
        <f t="shared" si="59"/>
        <v>1.6094379124341003</v>
      </c>
      <c r="Q565" s="5">
        <f t="shared" si="60"/>
        <v>1.3862943611198906</v>
      </c>
      <c r="R565" s="5">
        <f t="shared" si="60"/>
        <v>1.0986122886681098</v>
      </c>
      <c r="S565" s="5">
        <f t="shared" si="61"/>
        <v>0.4</v>
      </c>
      <c r="T565" s="3">
        <f t="shared" si="62"/>
        <v>0</v>
      </c>
      <c r="U565" s="3" t="s">
        <v>79</v>
      </c>
      <c r="V565" s="3">
        <v>2</v>
      </c>
      <c r="W565" s="6">
        <v>7.4</v>
      </c>
      <c r="X565" s="4">
        <v>9</v>
      </c>
      <c r="Y565" s="5">
        <v>0.3</v>
      </c>
      <c r="Z565" s="5">
        <v>1.8</v>
      </c>
      <c r="AA565" s="3" t="s">
        <v>80</v>
      </c>
      <c r="AB565" s="3">
        <v>0</v>
      </c>
      <c r="AC565" s="3" t="s">
        <v>81</v>
      </c>
      <c r="AD565" s="3">
        <v>0</v>
      </c>
      <c r="AE565" s="3" t="s">
        <v>98</v>
      </c>
      <c r="AF565" s="3">
        <v>0</v>
      </c>
      <c r="AG565" s="3" t="s">
        <v>82</v>
      </c>
      <c r="AH565" s="3">
        <v>1</v>
      </c>
      <c r="AI565" s="3">
        <v>1</v>
      </c>
      <c r="AJ565" s="3">
        <v>1</v>
      </c>
      <c r="AK565" s="3">
        <v>0</v>
      </c>
      <c r="AL565" s="3">
        <v>0</v>
      </c>
      <c r="AM565" s="3">
        <v>1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1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7" t="s">
        <v>1531</v>
      </c>
      <c r="BX565" s="7" t="s">
        <v>80</v>
      </c>
    </row>
    <row r="566" spans="1:76" ht="34">
      <c r="A566" s="3" t="s">
        <v>1532</v>
      </c>
      <c r="B566" s="3">
        <v>6596</v>
      </c>
      <c r="C566" s="3" t="s">
        <v>1533</v>
      </c>
      <c r="D566" s="3">
        <v>1</v>
      </c>
      <c r="E566" s="4">
        <v>71</v>
      </c>
      <c r="F566" s="3" t="s">
        <v>78</v>
      </c>
      <c r="G566" s="3">
        <v>1</v>
      </c>
      <c r="H566" s="3">
        <v>0</v>
      </c>
      <c r="I566" s="4">
        <v>17</v>
      </c>
      <c r="J566" s="4">
        <v>2</v>
      </c>
      <c r="K566" s="4">
        <v>19</v>
      </c>
      <c r="L566" s="5">
        <f>IF(F566="F",65.79,IF(F566="M",79.94,""))</f>
        <v>79.94</v>
      </c>
      <c r="M566" s="3">
        <f t="shared" si="56"/>
        <v>0</v>
      </c>
      <c r="N566" s="3" t="str">
        <f t="shared" si="57"/>
        <v>VSC-non-halitosis</v>
      </c>
      <c r="O566" s="3" t="str">
        <f t="shared" si="58"/>
        <v>Clinical+ / VSC-</v>
      </c>
      <c r="P566" s="5">
        <f t="shared" si="59"/>
        <v>2.9444389791664403</v>
      </c>
      <c r="Q566" s="5">
        <f t="shared" si="60"/>
        <v>2.8903717578961645</v>
      </c>
      <c r="R566" s="5">
        <f t="shared" si="60"/>
        <v>1.0986122886681098</v>
      </c>
      <c r="S566" s="5">
        <f t="shared" si="61"/>
        <v>0.10526315789473684</v>
      </c>
      <c r="T566" s="3">
        <f t="shared" si="62"/>
        <v>0</v>
      </c>
      <c r="U566" s="3" t="s">
        <v>79</v>
      </c>
      <c r="V566" s="3">
        <v>2</v>
      </c>
      <c r="W566" s="6">
        <v>5.8</v>
      </c>
      <c r="X566" s="4">
        <v>12</v>
      </c>
      <c r="Y566" s="5">
        <v>0.35</v>
      </c>
      <c r="Z566" s="5">
        <v>0.7</v>
      </c>
      <c r="AA566" s="3" t="s">
        <v>80</v>
      </c>
      <c r="AB566" s="3">
        <v>0</v>
      </c>
      <c r="AC566" s="3" t="s">
        <v>81</v>
      </c>
      <c r="AD566" s="3">
        <v>0</v>
      </c>
      <c r="AE566" s="3" t="s">
        <v>82</v>
      </c>
      <c r="AF566" s="3">
        <v>1</v>
      </c>
      <c r="AG566" s="3" t="s">
        <v>82</v>
      </c>
      <c r="AH566" s="3">
        <v>1</v>
      </c>
      <c r="AI566" s="3">
        <v>3</v>
      </c>
      <c r="AJ566" s="3">
        <v>2</v>
      </c>
      <c r="AK566" s="3">
        <v>1</v>
      </c>
      <c r="AL566" s="3">
        <v>0</v>
      </c>
      <c r="AM566" s="3">
        <v>0</v>
      </c>
      <c r="AN566" s="3">
        <v>1</v>
      </c>
      <c r="AO566" s="3">
        <v>1</v>
      </c>
      <c r="AP566" s="3">
        <v>0</v>
      </c>
      <c r="AQ566" s="3">
        <v>0</v>
      </c>
      <c r="AR566" s="3">
        <v>1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1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1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7" t="s">
        <v>1534</v>
      </c>
      <c r="BX566" s="7" t="s">
        <v>80</v>
      </c>
    </row>
    <row r="567" spans="1:76" ht="34">
      <c r="A567" s="3" t="s">
        <v>1535</v>
      </c>
      <c r="B567" s="3">
        <v>6611</v>
      </c>
      <c r="C567" s="3" t="s">
        <v>1536</v>
      </c>
      <c r="D567" s="3">
        <v>1</v>
      </c>
      <c r="E567" s="4">
        <v>68</v>
      </c>
      <c r="F567" s="3" t="s">
        <v>78</v>
      </c>
      <c r="G567" s="3">
        <v>0</v>
      </c>
      <c r="H567" s="3">
        <v>0</v>
      </c>
      <c r="I567" s="4">
        <v>1</v>
      </c>
      <c r="J567" s="4">
        <v>0</v>
      </c>
      <c r="K567" s="4">
        <v>1</v>
      </c>
      <c r="L567" s="5">
        <f>IF(F567="F",65.79,IF(F567="M",79.94,""))</f>
        <v>79.94</v>
      </c>
      <c r="M567" s="3">
        <f t="shared" si="56"/>
        <v>0</v>
      </c>
      <c r="N567" s="3" t="str">
        <f t="shared" si="57"/>
        <v>VSC-non-halitosis</v>
      </c>
      <c r="O567" s="3" t="str">
        <f t="shared" si="58"/>
        <v>Clinical- / VSC-</v>
      </c>
      <c r="P567" s="5">
        <f t="shared" si="59"/>
        <v>0</v>
      </c>
      <c r="Q567" s="5">
        <f t="shared" si="60"/>
        <v>0.69314718055994529</v>
      </c>
      <c r="R567" s="5">
        <f t="shared" si="60"/>
        <v>0</v>
      </c>
      <c r="S567" s="5">
        <f t="shared" si="61"/>
        <v>0</v>
      </c>
      <c r="T567" s="3">
        <f t="shared" si="62"/>
        <v>0</v>
      </c>
      <c r="U567" s="3" t="s">
        <v>102</v>
      </c>
      <c r="V567" s="3">
        <v>1</v>
      </c>
      <c r="W567" s="6">
        <v>7.6</v>
      </c>
      <c r="X567" s="4">
        <v>12</v>
      </c>
      <c r="Y567" s="5">
        <v>0.4</v>
      </c>
      <c r="Z567" s="5">
        <v>1.5</v>
      </c>
      <c r="AA567" s="3" t="s">
        <v>80</v>
      </c>
      <c r="AB567" s="3">
        <v>0</v>
      </c>
      <c r="AC567" s="3" t="s">
        <v>81</v>
      </c>
      <c r="AD567" s="3">
        <v>0</v>
      </c>
      <c r="AE567" s="3" t="s">
        <v>82</v>
      </c>
      <c r="AF567" s="3">
        <v>1</v>
      </c>
      <c r="AG567" s="3" t="s">
        <v>82</v>
      </c>
      <c r="AH567" s="3">
        <v>1</v>
      </c>
      <c r="AI567" s="3">
        <v>4</v>
      </c>
      <c r="AJ567" s="3">
        <v>4</v>
      </c>
      <c r="AK567" s="3">
        <v>2</v>
      </c>
      <c r="AL567" s="3">
        <v>1</v>
      </c>
      <c r="AM567" s="3">
        <v>1</v>
      </c>
      <c r="AN567" s="3">
        <v>1</v>
      </c>
      <c r="AO567" s="3">
        <v>0</v>
      </c>
      <c r="AP567" s="3">
        <v>0</v>
      </c>
      <c r="AQ567" s="3">
        <v>0</v>
      </c>
      <c r="AR567" s="3">
        <v>1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1</v>
      </c>
      <c r="BG567" s="3">
        <v>1</v>
      </c>
      <c r="BH567" s="3">
        <v>0</v>
      </c>
      <c r="BI567" s="3">
        <v>0</v>
      </c>
      <c r="BJ567" s="3">
        <v>0</v>
      </c>
      <c r="BK567" s="3">
        <v>1</v>
      </c>
      <c r="BL567" s="3">
        <v>0</v>
      </c>
      <c r="BM567" s="3">
        <v>1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7" t="s">
        <v>1537</v>
      </c>
      <c r="BX567" s="7" t="s">
        <v>1538</v>
      </c>
    </row>
    <row r="568" spans="1:76" ht="51">
      <c r="A568" s="3" t="s">
        <v>1539</v>
      </c>
      <c r="B568" s="3">
        <v>6667</v>
      </c>
      <c r="C568" s="3" t="s">
        <v>1540</v>
      </c>
      <c r="D568" s="3">
        <v>1</v>
      </c>
      <c r="E568" s="4">
        <v>62</v>
      </c>
      <c r="F568" s="3" t="s">
        <v>87</v>
      </c>
      <c r="G568" s="3">
        <v>0</v>
      </c>
      <c r="H568" s="3">
        <v>0</v>
      </c>
      <c r="I568" s="4">
        <v>2</v>
      </c>
      <c r="J568" s="4">
        <v>2</v>
      </c>
      <c r="K568" s="4">
        <v>4</v>
      </c>
      <c r="L568" s="5">
        <f>IF(F568="F",65.79,IF(F568="M",79.94,""))</f>
        <v>65.790000000000006</v>
      </c>
      <c r="M568" s="3">
        <f t="shared" si="56"/>
        <v>0</v>
      </c>
      <c r="N568" s="3" t="str">
        <f t="shared" si="57"/>
        <v>VSC-non-halitosis</v>
      </c>
      <c r="O568" s="3" t="str">
        <f t="shared" si="58"/>
        <v>Clinical- / VSC-</v>
      </c>
      <c r="P568" s="5">
        <f t="shared" si="59"/>
        <v>1.3862943611198906</v>
      </c>
      <c r="Q568" s="5">
        <f t="shared" si="60"/>
        <v>1.0986122886681098</v>
      </c>
      <c r="R568" s="5">
        <f t="shared" si="60"/>
        <v>1.0986122886681098</v>
      </c>
      <c r="S568" s="5">
        <f t="shared" si="61"/>
        <v>0.5</v>
      </c>
      <c r="T568" s="3">
        <f t="shared" si="62"/>
        <v>0</v>
      </c>
      <c r="U568" s="3" t="s">
        <v>79</v>
      </c>
      <c r="V568" s="3">
        <v>2</v>
      </c>
      <c r="W568" s="6">
        <v>7.2</v>
      </c>
      <c r="X568" s="4">
        <v>12</v>
      </c>
      <c r="Y568" s="5">
        <v>0.4</v>
      </c>
      <c r="Z568" s="5">
        <v>1.5</v>
      </c>
      <c r="AA568" s="3" t="s">
        <v>80</v>
      </c>
      <c r="AB568" s="3">
        <v>0</v>
      </c>
      <c r="AC568" s="3" t="s">
        <v>81</v>
      </c>
      <c r="AD568" s="3">
        <v>0</v>
      </c>
      <c r="AE568" s="3" t="s">
        <v>82</v>
      </c>
      <c r="AF568" s="3">
        <v>1</v>
      </c>
      <c r="AG568" s="3" t="s">
        <v>82</v>
      </c>
      <c r="AH568" s="3">
        <v>1</v>
      </c>
      <c r="AI568" s="3">
        <v>1</v>
      </c>
      <c r="AJ568" s="3">
        <v>3</v>
      </c>
      <c r="AK568" s="3">
        <v>1</v>
      </c>
      <c r="AL568" s="3">
        <v>0</v>
      </c>
      <c r="AM568" s="3">
        <v>0</v>
      </c>
      <c r="AN568" s="3">
        <v>1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1</v>
      </c>
      <c r="BG568" s="3">
        <v>0</v>
      </c>
      <c r="BH568" s="3">
        <v>0</v>
      </c>
      <c r="BI568" s="3">
        <v>0</v>
      </c>
      <c r="BJ568" s="3">
        <v>1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1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7" t="s">
        <v>1541</v>
      </c>
      <c r="BX568" s="7" t="s">
        <v>80</v>
      </c>
    </row>
    <row r="569" spans="1:76">
      <c r="A569" s="3" t="s">
        <v>1542</v>
      </c>
      <c r="B569" s="3">
        <v>6747</v>
      </c>
      <c r="C569" s="3" t="s">
        <v>1543</v>
      </c>
      <c r="D569" s="3">
        <v>1</v>
      </c>
      <c r="E569" s="4">
        <v>84</v>
      </c>
      <c r="F569" s="3" t="s">
        <v>78</v>
      </c>
      <c r="G569" s="3">
        <v>0</v>
      </c>
      <c r="H569" s="3">
        <v>0</v>
      </c>
      <c r="I569" s="4">
        <v>23</v>
      </c>
      <c r="J569" s="4">
        <v>0</v>
      </c>
      <c r="K569" s="4">
        <v>23</v>
      </c>
      <c r="L569" s="5">
        <f>IF(F569="F",65.79,IF(F569="M",79.94,""))</f>
        <v>79.94</v>
      </c>
      <c r="M569" s="3">
        <f t="shared" si="56"/>
        <v>0</v>
      </c>
      <c r="N569" s="3" t="str">
        <f t="shared" si="57"/>
        <v>VSC-non-halitosis</v>
      </c>
      <c r="O569" s="3" t="str">
        <f t="shared" si="58"/>
        <v>Clinical- / VSC-</v>
      </c>
      <c r="P569" s="5">
        <f t="shared" si="59"/>
        <v>3.1354942159291497</v>
      </c>
      <c r="Q569" s="5">
        <f t="shared" si="60"/>
        <v>3.1780538303479458</v>
      </c>
      <c r="R569" s="5">
        <f t="shared" si="60"/>
        <v>0</v>
      </c>
      <c r="S569" s="5">
        <f t="shared" si="61"/>
        <v>0</v>
      </c>
      <c r="T569" s="3">
        <f t="shared" si="62"/>
        <v>0</v>
      </c>
      <c r="U569" s="3" t="s">
        <v>79</v>
      </c>
      <c r="V569" s="3">
        <v>2</v>
      </c>
      <c r="W569" s="6">
        <v>6</v>
      </c>
      <c r="X569" s="4">
        <v>12</v>
      </c>
      <c r="Y569" s="5">
        <v>0.5</v>
      </c>
      <c r="Z569" s="5">
        <v>2.2000000000000002</v>
      </c>
      <c r="AA569" s="3" t="s">
        <v>80</v>
      </c>
      <c r="AB569" s="3">
        <v>0</v>
      </c>
      <c r="AC569" s="3" t="s">
        <v>138</v>
      </c>
      <c r="AD569" s="3">
        <v>1</v>
      </c>
      <c r="AE569" s="3" t="s">
        <v>82</v>
      </c>
      <c r="AF569" s="3">
        <v>1</v>
      </c>
      <c r="AG569" s="3" t="s">
        <v>82</v>
      </c>
      <c r="AH569" s="3">
        <v>1</v>
      </c>
      <c r="AI569" s="3">
        <v>3</v>
      </c>
      <c r="AJ569" s="3">
        <v>1</v>
      </c>
      <c r="AK569" s="3">
        <v>0</v>
      </c>
      <c r="AL569" s="3">
        <v>1</v>
      </c>
      <c r="AM569" s="3">
        <v>1</v>
      </c>
      <c r="AN569" s="3">
        <v>1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1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7" t="s">
        <v>134</v>
      </c>
      <c r="BX569" s="7" t="s">
        <v>337</v>
      </c>
    </row>
    <row r="570" spans="1:76">
      <c r="A570" s="3" t="s">
        <v>1544</v>
      </c>
      <c r="B570" s="3">
        <v>6713</v>
      </c>
      <c r="C570" s="3" t="s">
        <v>1545</v>
      </c>
      <c r="D570" s="3">
        <v>2</v>
      </c>
      <c r="E570" s="4">
        <v>35</v>
      </c>
      <c r="F570" s="3" t="s">
        <v>78</v>
      </c>
      <c r="G570" s="3">
        <v>1</v>
      </c>
      <c r="H570" s="3">
        <v>0</v>
      </c>
      <c r="I570" s="4">
        <v>13</v>
      </c>
      <c r="J570" s="4">
        <v>2</v>
      </c>
      <c r="K570" s="4">
        <v>15</v>
      </c>
      <c r="L570" s="5">
        <f>IF(F570="F",65.79,IF(F570="M",79.94,""))</f>
        <v>79.94</v>
      </c>
      <c r="M570" s="3">
        <f t="shared" si="56"/>
        <v>0</v>
      </c>
      <c r="N570" s="3" t="str">
        <f t="shared" si="57"/>
        <v>VSC-non-halitosis</v>
      </c>
      <c r="O570" s="3" t="str">
        <f t="shared" si="58"/>
        <v>Clinical+ / VSC-</v>
      </c>
      <c r="P570" s="5">
        <f t="shared" si="59"/>
        <v>2.7080502011022101</v>
      </c>
      <c r="Q570" s="5">
        <f t="shared" si="60"/>
        <v>2.6390573296152584</v>
      </c>
      <c r="R570" s="5">
        <f t="shared" si="60"/>
        <v>1.0986122886681098</v>
      </c>
      <c r="S570" s="5">
        <f t="shared" si="61"/>
        <v>0.13333333333333333</v>
      </c>
      <c r="T570" s="3">
        <f t="shared" si="62"/>
        <v>0</v>
      </c>
      <c r="U570" s="3" t="s">
        <v>79</v>
      </c>
      <c r="V570" s="3">
        <v>2</v>
      </c>
      <c r="W570" s="6">
        <v>7.4</v>
      </c>
      <c r="X570" s="4">
        <v>9</v>
      </c>
      <c r="Y570" s="5">
        <v>0.6</v>
      </c>
      <c r="Z570" s="5">
        <v>2.4</v>
      </c>
      <c r="AA570" s="3" t="s">
        <v>80</v>
      </c>
      <c r="AB570" s="3">
        <v>0</v>
      </c>
      <c r="AC570" s="3" t="s">
        <v>81</v>
      </c>
      <c r="AD570" s="3">
        <v>0</v>
      </c>
      <c r="AE570" s="3" t="s">
        <v>82</v>
      </c>
      <c r="AF570" s="3">
        <v>1</v>
      </c>
      <c r="AG570" s="3" t="s">
        <v>82</v>
      </c>
      <c r="AH570" s="3">
        <v>1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7"/>
      <c r="BX570" s="7"/>
    </row>
    <row r="571" spans="1:76">
      <c r="A571" s="3" t="s">
        <v>1546</v>
      </c>
      <c r="B571" s="3">
        <v>6713</v>
      </c>
      <c r="C571" s="3" t="s">
        <v>1545</v>
      </c>
      <c r="D571" s="3">
        <v>2</v>
      </c>
      <c r="E571" s="4">
        <v>35</v>
      </c>
      <c r="F571" s="3" t="s">
        <v>78</v>
      </c>
      <c r="G571" s="3">
        <v>1</v>
      </c>
      <c r="H571" s="3">
        <v>0</v>
      </c>
      <c r="I571" s="4">
        <v>0</v>
      </c>
      <c r="J571" s="4">
        <v>8</v>
      </c>
      <c r="K571" s="4">
        <v>8</v>
      </c>
      <c r="L571" s="5">
        <f>IF(F571="F",65.79,IF(F571="M",79.94,""))</f>
        <v>79.94</v>
      </c>
      <c r="M571" s="3">
        <f t="shared" si="56"/>
        <v>0</v>
      </c>
      <c r="N571" s="3" t="str">
        <f t="shared" si="57"/>
        <v>VSC-non-halitosis</v>
      </c>
      <c r="O571" s="3" t="str">
        <f t="shared" si="58"/>
        <v>Clinical+ / VSC-</v>
      </c>
      <c r="P571" s="5">
        <f t="shared" si="59"/>
        <v>2.0794415416798357</v>
      </c>
      <c r="Q571" s="5">
        <f t="shared" si="60"/>
        <v>0</v>
      </c>
      <c r="R571" s="5">
        <f t="shared" si="60"/>
        <v>2.1972245773362196</v>
      </c>
      <c r="S571" s="5">
        <f t="shared" si="61"/>
        <v>1</v>
      </c>
      <c r="T571" s="3">
        <f t="shared" si="62"/>
        <v>1</v>
      </c>
      <c r="U571" s="3" t="s">
        <v>79</v>
      </c>
      <c r="V571" s="3">
        <v>2</v>
      </c>
      <c r="W571" s="6">
        <v>7.4</v>
      </c>
      <c r="X571" s="4">
        <v>9</v>
      </c>
      <c r="Y571" s="5">
        <v>0.6</v>
      </c>
      <c r="Z571" s="5">
        <v>2.4</v>
      </c>
      <c r="AA571" s="3" t="s">
        <v>80</v>
      </c>
      <c r="AB571" s="3">
        <v>0</v>
      </c>
      <c r="AC571" s="3" t="s">
        <v>81</v>
      </c>
      <c r="AD571" s="3">
        <v>0</v>
      </c>
      <c r="AE571" s="3" t="s">
        <v>82</v>
      </c>
      <c r="AF571" s="3">
        <v>1</v>
      </c>
      <c r="AG571" s="3" t="s">
        <v>82</v>
      </c>
      <c r="AH571" s="3">
        <v>1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7"/>
      <c r="BX571" s="7"/>
    </row>
    <row r="572" spans="1:76" ht="51">
      <c r="A572" s="3" t="s">
        <v>1547</v>
      </c>
      <c r="B572" s="3">
        <v>6688</v>
      </c>
      <c r="C572" s="3" t="s">
        <v>1548</v>
      </c>
      <c r="D572" s="3">
        <v>1</v>
      </c>
      <c r="E572" s="4">
        <v>73</v>
      </c>
      <c r="F572" s="3" t="s">
        <v>87</v>
      </c>
      <c r="G572" s="3">
        <v>0</v>
      </c>
      <c r="H572" s="3">
        <v>0</v>
      </c>
      <c r="I572" s="4">
        <v>1</v>
      </c>
      <c r="J572" s="4">
        <v>1</v>
      </c>
      <c r="K572" s="4">
        <v>2</v>
      </c>
      <c r="L572" s="5">
        <f>IF(F572="F",65.79,IF(F572="M",79.94,""))</f>
        <v>65.790000000000006</v>
      </c>
      <c r="M572" s="3">
        <f t="shared" si="56"/>
        <v>0</v>
      </c>
      <c r="N572" s="3" t="str">
        <f t="shared" si="57"/>
        <v>VSC-non-halitosis</v>
      </c>
      <c r="O572" s="3" t="str">
        <f t="shared" si="58"/>
        <v>Clinical- / VSC-</v>
      </c>
      <c r="P572" s="5">
        <f t="shared" si="59"/>
        <v>0.69314718055994529</v>
      </c>
      <c r="Q572" s="5">
        <f t="shared" si="60"/>
        <v>0.69314718055994529</v>
      </c>
      <c r="R572" s="5">
        <f t="shared" si="60"/>
        <v>0.69314718055994529</v>
      </c>
      <c r="S572" s="5">
        <f t="shared" si="61"/>
        <v>0.5</v>
      </c>
      <c r="T572" s="3">
        <f t="shared" si="62"/>
        <v>0</v>
      </c>
      <c r="U572" s="3" t="s">
        <v>102</v>
      </c>
      <c r="V572" s="3">
        <v>1</v>
      </c>
      <c r="W572" s="6">
        <v>6.4</v>
      </c>
      <c r="X572" s="4">
        <v>9</v>
      </c>
      <c r="Y572" s="5">
        <v>0.1</v>
      </c>
      <c r="Z572" s="5">
        <v>1</v>
      </c>
      <c r="AA572" s="3" t="s">
        <v>80</v>
      </c>
      <c r="AB572" s="3">
        <v>0</v>
      </c>
      <c r="AC572" s="3" t="s">
        <v>81</v>
      </c>
      <c r="AD572" s="3">
        <v>0</v>
      </c>
      <c r="AE572" s="3" t="s">
        <v>82</v>
      </c>
      <c r="AF572" s="3">
        <v>1</v>
      </c>
      <c r="AG572" s="3" t="s">
        <v>82</v>
      </c>
      <c r="AH572" s="3">
        <v>1</v>
      </c>
      <c r="AI572" s="3">
        <v>3</v>
      </c>
      <c r="AJ572" s="3">
        <v>1</v>
      </c>
      <c r="AK572" s="3">
        <v>0</v>
      </c>
      <c r="AL572" s="3">
        <v>1</v>
      </c>
      <c r="AM572" s="3">
        <v>1</v>
      </c>
      <c r="AN572" s="3">
        <v>0</v>
      </c>
      <c r="AO572" s="3">
        <v>0</v>
      </c>
      <c r="AP572" s="3">
        <v>0</v>
      </c>
      <c r="AQ572" s="3">
        <v>1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1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7" t="s">
        <v>1549</v>
      </c>
      <c r="BX572" s="7" t="s">
        <v>80</v>
      </c>
    </row>
    <row r="573" spans="1:76">
      <c r="A573" s="3" t="s">
        <v>1550</v>
      </c>
      <c r="B573" s="3">
        <v>6716</v>
      </c>
      <c r="C573" s="3" t="s">
        <v>1551</v>
      </c>
      <c r="D573" s="3">
        <v>1</v>
      </c>
      <c r="E573" s="4">
        <v>55</v>
      </c>
      <c r="F573" s="3" t="s">
        <v>78</v>
      </c>
      <c r="G573" s="3">
        <v>0</v>
      </c>
      <c r="H573" s="3">
        <v>0</v>
      </c>
      <c r="I573" s="4">
        <v>2</v>
      </c>
      <c r="J573" s="4">
        <v>2</v>
      </c>
      <c r="K573" s="4">
        <v>4</v>
      </c>
      <c r="L573" s="5">
        <f>IF(F573="F",65.79,IF(F573="M",79.94,""))</f>
        <v>79.94</v>
      </c>
      <c r="M573" s="3">
        <f t="shared" si="56"/>
        <v>0</v>
      </c>
      <c r="N573" s="3" t="str">
        <f t="shared" si="57"/>
        <v>VSC-non-halitosis</v>
      </c>
      <c r="O573" s="3" t="str">
        <f t="shared" si="58"/>
        <v>Clinical- / VSC-</v>
      </c>
      <c r="P573" s="5">
        <f t="shared" si="59"/>
        <v>1.3862943611198906</v>
      </c>
      <c r="Q573" s="5">
        <f t="shared" si="60"/>
        <v>1.0986122886681098</v>
      </c>
      <c r="R573" s="5">
        <f t="shared" si="60"/>
        <v>1.0986122886681098</v>
      </c>
      <c r="S573" s="5">
        <f t="shared" si="61"/>
        <v>0.5</v>
      </c>
      <c r="T573" s="3">
        <f t="shared" si="62"/>
        <v>0</v>
      </c>
      <c r="U573" s="3" t="s">
        <v>79</v>
      </c>
      <c r="V573" s="3">
        <v>2</v>
      </c>
      <c r="W573" s="6">
        <v>7.8</v>
      </c>
      <c r="X573" s="4">
        <v>12</v>
      </c>
      <c r="Y573" s="5">
        <v>0.6</v>
      </c>
      <c r="Z573" s="5">
        <v>2.4</v>
      </c>
      <c r="AA573" s="3" t="s">
        <v>80</v>
      </c>
      <c r="AB573" s="3">
        <v>0</v>
      </c>
      <c r="AC573" s="3" t="s">
        <v>81</v>
      </c>
      <c r="AD573" s="3">
        <v>0</v>
      </c>
      <c r="AE573" s="3" t="s">
        <v>98</v>
      </c>
      <c r="AF573" s="3">
        <v>0</v>
      </c>
      <c r="AG573" s="3" t="s">
        <v>98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7" t="s">
        <v>1552</v>
      </c>
      <c r="BX573" s="7" t="s">
        <v>80</v>
      </c>
    </row>
    <row r="574" spans="1:76">
      <c r="A574" s="3" t="s">
        <v>1553</v>
      </c>
      <c r="B574" s="3">
        <v>6718</v>
      </c>
      <c r="C574" s="3" t="s">
        <v>1554</v>
      </c>
      <c r="D574" s="3">
        <v>1</v>
      </c>
      <c r="E574" s="4">
        <v>60</v>
      </c>
      <c r="F574" s="3" t="s">
        <v>87</v>
      </c>
      <c r="G574" s="3">
        <v>0</v>
      </c>
      <c r="H574" s="3">
        <v>0</v>
      </c>
      <c r="I574" s="4">
        <v>7</v>
      </c>
      <c r="J574" s="4">
        <v>1</v>
      </c>
      <c r="K574" s="4">
        <v>8</v>
      </c>
      <c r="L574" s="5">
        <f>IF(F574="F",65.79,IF(F574="M",79.94,""))</f>
        <v>65.790000000000006</v>
      </c>
      <c r="M574" s="3">
        <f t="shared" si="56"/>
        <v>0</v>
      </c>
      <c r="N574" s="3" t="str">
        <f t="shared" si="57"/>
        <v>VSC-non-halitosis</v>
      </c>
      <c r="O574" s="3" t="str">
        <f t="shared" si="58"/>
        <v>Clinical- / VSC-</v>
      </c>
      <c r="P574" s="5">
        <f t="shared" si="59"/>
        <v>2.0794415416798357</v>
      </c>
      <c r="Q574" s="5">
        <f t="shared" si="60"/>
        <v>2.0794415416798357</v>
      </c>
      <c r="R574" s="5">
        <f t="shared" si="60"/>
        <v>0.69314718055994529</v>
      </c>
      <c r="S574" s="5">
        <f t="shared" si="61"/>
        <v>0.125</v>
      </c>
      <c r="T574" s="3">
        <f t="shared" si="62"/>
        <v>0</v>
      </c>
      <c r="U574" s="3" t="s">
        <v>79</v>
      </c>
      <c r="V574" s="3">
        <v>2</v>
      </c>
      <c r="W574" s="6">
        <v>6.6</v>
      </c>
      <c r="X574" s="4">
        <v>9</v>
      </c>
      <c r="Y574" s="5">
        <v>0.5</v>
      </c>
      <c r="Z574" s="5">
        <v>1.6</v>
      </c>
      <c r="AA574" s="3" t="s">
        <v>80</v>
      </c>
      <c r="AB574" s="3">
        <v>0</v>
      </c>
      <c r="AC574" s="3" t="s">
        <v>81</v>
      </c>
      <c r="AD574" s="3">
        <v>0</v>
      </c>
      <c r="AE574" s="3" t="s">
        <v>82</v>
      </c>
      <c r="AF574" s="3">
        <v>1</v>
      </c>
      <c r="AG574" s="3" t="s">
        <v>82</v>
      </c>
      <c r="AH574" s="3">
        <v>1</v>
      </c>
      <c r="AI574" s="3">
        <v>1</v>
      </c>
      <c r="AJ574" s="3">
        <v>1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1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1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7" t="s">
        <v>1555</v>
      </c>
      <c r="BX574" s="7" t="s">
        <v>80</v>
      </c>
    </row>
    <row r="575" spans="1:76">
      <c r="A575" s="3" t="s">
        <v>1556</v>
      </c>
      <c r="B575" s="3">
        <v>6727</v>
      </c>
      <c r="C575" s="3" t="s">
        <v>1557</v>
      </c>
      <c r="D575" s="3">
        <v>1</v>
      </c>
      <c r="E575" s="4">
        <v>57</v>
      </c>
      <c r="F575" s="3" t="s">
        <v>87</v>
      </c>
      <c r="G575" s="3">
        <v>0</v>
      </c>
      <c r="H575" s="3">
        <v>0</v>
      </c>
      <c r="I575" s="4">
        <v>0</v>
      </c>
      <c r="J575" s="4">
        <v>2</v>
      </c>
      <c r="K575" s="4">
        <v>2</v>
      </c>
      <c r="L575" s="5">
        <f>IF(F575="F",65.79,IF(F575="M",79.94,""))</f>
        <v>65.790000000000006</v>
      </c>
      <c r="M575" s="3">
        <f t="shared" si="56"/>
        <v>0</v>
      </c>
      <c r="N575" s="3" t="str">
        <f t="shared" si="57"/>
        <v>VSC-non-halitosis</v>
      </c>
      <c r="O575" s="3" t="str">
        <f t="shared" si="58"/>
        <v>Clinical- / VSC-</v>
      </c>
      <c r="P575" s="5">
        <f t="shared" si="59"/>
        <v>0.69314718055994529</v>
      </c>
      <c r="Q575" s="5">
        <f t="shared" si="60"/>
        <v>0</v>
      </c>
      <c r="R575" s="5">
        <f t="shared" si="60"/>
        <v>1.0986122886681098</v>
      </c>
      <c r="S575" s="5">
        <f t="shared" si="61"/>
        <v>1</v>
      </c>
      <c r="T575" s="3">
        <f t="shared" si="62"/>
        <v>1</v>
      </c>
      <c r="U575" s="3" t="s">
        <v>102</v>
      </c>
      <c r="V575" s="3">
        <v>1</v>
      </c>
      <c r="W575" s="6">
        <v>6.4</v>
      </c>
      <c r="X575" s="4">
        <v>9</v>
      </c>
      <c r="Y575" s="5">
        <v>0.75</v>
      </c>
      <c r="Z575" s="5">
        <v>3</v>
      </c>
      <c r="AA575" s="3" t="s">
        <v>80</v>
      </c>
      <c r="AB575" s="3">
        <v>0</v>
      </c>
      <c r="AC575" s="3" t="s">
        <v>81</v>
      </c>
      <c r="AD575" s="3">
        <v>0</v>
      </c>
      <c r="AE575" s="3" t="s">
        <v>82</v>
      </c>
      <c r="AF575" s="3">
        <v>1</v>
      </c>
      <c r="AG575" s="3" t="s">
        <v>82</v>
      </c>
      <c r="AH575" s="3">
        <v>1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7" t="s">
        <v>80</v>
      </c>
      <c r="BX575" s="7" t="s">
        <v>80</v>
      </c>
    </row>
    <row r="576" spans="1:76">
      <c r="A576" s="3" t="s">
        <v>1558</v>
      </c>
      <c r="B576" s="3">
        <v>6757</v>
      </c>
      <c r="C576" s="3" t="s">
        <v>1559</v>
      </c>
      <c r="D576" s="3">
        <v>1</v>
      </c>
      <c r="E576" s="4">
        <v>68</v>
      </c>
      <c r="F576" s="3" t="s">
        <v>87</v>
      </c>
      <c r="G576" s="3">
        <v>0</v>
      </c>
      <c r="H576" s="3">
        <v>0</v>
      </c>
      <c r="I576" s="4">
        <v>2</v>
      </c>
      <c r="J576" s="4">
        <v>0</v>
      </c>
      <c r="K576" s="4">
        <v>2</v>
      </c>
      <c r="L576" s="5">
        <f>IF(F576="F",65.79,IF(F576="M",79.94,""))</f>
        <v>65.790000000000006</v>
      </c>
      <c r="M576" s="3">
        <f t="shared" si="56"/>
        <v>0</v>
      </c>
      <c r="N576" s="3" t="str">
        <f t="shared" si="57"/>
        <v>VSC-non-halitosis</v>
      </c>
      <c r="O576" s="3" t="str">
        <f t="shared" si="58"/>
        <v>Clinical- / VSC-</v>
      </c>
      <c r="P576" s="5">
        <f t="shared" si="59"/>
        <v>0.69314718055994529</v>
      </c>
      <c r="Q576" s="5">
        <f t="shared" si="60"/>
        <v>1.0986122886681098</v>
      </c>
      <c r="R576" s="5">
        <f t="shared" si="60"/>
        <v>0</v>
      </c>
      <c r="S576" s="5">
        <f t="shared" si="61"/>
        <v>0</v>
      </c>
      <c r="T576" s="3">
        <f t="shared" si="62"/>
        <v>0</v>
      </c>
      <c r="U576" s="3" t="s">
        <v>102</v>
      </c>
      <c r="V576" s="3">
        <v>1</v>
      </c>
      <c r="W576" s="6">
        <v>6.8</v>
      </c>
      <c r="X576" s="4">
        <v>11</v>
      </c>
      <c r="Y576" s="5">
        <v>0.4</v>
      </c>
      <c r="Z576" s="5">
        <v>1.6</v>
      </c>
      <c r="AA576" s="3" t="s">
        <v>80</v>
      </c>
      <c r="AB576" s="3">
        <v>0</v>
      </c>
      <c r="AC576" s="3" t="s">
        <v>113</v>
      </c>
      <c r="AD576" s="3">
        <v>0</v>
      </c>
      <c r="AE576" s="3" t="s">
        <v>82</v>
      </c>
      <c r="AF576" s="3">
        <v>1</v>
      </c>
      <c r="AG576" s="3" t="s">
        <v>98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7" t="s">
        <v>80</v>
      </c>
      <c r="BX576" s="7" t="s">
        <v>1560</v>
      </c>
    </row>
    <row r="577" spans="1:76">
      <c r="A577" s="3" t="s">
        <v>1561</v>
      </c>
      <c r="B577" s="3">
        <v>6819</v>
      </c>
      <c r="C577" s="3" t="s">
        <v>1562</v>
      </c>
      <c r="D577" s="3">
        <v>1</v>
      </c>
      <c r="E577" s="4">
        <v>57</v>
      </c>
      <c r="F577" s="3" t="s">
        <v>78</v>
      </c>
      <c r="G577" s="3">
        <v>0</v>
      </c>
      <c r="H577" s="3">
        <v>0</v>
      </c>
      <c r="I577" s="4">
        <v>1</v>
      </c>
      <c r="J577" s="4">
        <v>1</v>
      </c>
      <c r="K577" s="4">
        <v>2</v>
      </c>
      <c r="L577" s="5">
        <f>IF(F577="F",65.79,IF(F577="M",79.94,""))</f>
        <v>79.94</v>
      </c>
      <c r="M577" s="3">
        <f t="shared" si="56"/>
        <v>0</v>
      </c>
      <c r="N577" s="3" t="str">
        <f t="shared" si="57"/>
        <v>VSC-non-halitosis</v>
      </c>
      <c r="O577" s="3" t="str">
        <f t="shared" si="58"/>
        <v>Clinical- / VSC-</v>
      </c>
      <c r="P577" s="5">
        <f t="shared" si="59"/>
        <v>0.69314718055994529</v>
      </c>
      <c r="Q577" s="5">
        <f t="shared" si="60"/>
        <v>0.69314718055994529</v>
      </c>
      <c r="R577" s="5">
        <f t="shared" si="60"/>
        <v>0.69314718055994529</v>
      </c>
      <c r="S577" s="5">
        <f t="shared" si="61"/>
        <v>0.5</v>
      </c>
      <c r="T577" s="3">
        <f t="shared" si="62"/>
        <v>0</v>
      </c>
      <c r="U577" s="3" t="s">
        <v>102</v>
      </c>
      <c r="V577" s="3">
        <v>1</v>
      </c>
      <c r="W577" s="6">
        <v>6.2</v>
      </c>
      <c r="X577" s="4">
        <v>12</v>
      </c>
      <c r="Y577" s="5">
        <v>0.1</v>
      </c>
      <c r="Z577" s="5">
        <v>2</v>
      </c>
      <c r="AA577" s="3" t="s">
        <v>80</v>
      </c>
      <c r="AB577" s="3">
        <v>0</v>
      </c>
      <c r="AC577" s="3" t="s">
        <v>81</v>
      </c>
      <c r="AD577" s="3">
        <v>0</v>
      </c>
      <c r="AE577" s="3" t="s">
        <v>82</v>
      </c>
      <c r="AF577" s="3">
        <v>1</v>
      </c>
      <c r="AG577" s="3" t="s">
        <v>103</v>
      </c>
      <c r="AH577" s="3">
        <v>1</v>
      </c>
      <c r="AI577" s="3">
        <v>5</v>
      </c>
      <c r="AJ577" s="3">
        <v>2</v>
      </c>
      <c r="AK577" s="3">
        <v>1</v>
      </c>
      <c r="AL577" s="3">
        <v>1</v>
      </c>
      <c r="AM577" s="3">
        <v>1</v>
      </c>
      <c r="AN577" s="3">
        <v>1</v>
      </c>
      <c r="AO577" s="3">
        <v>0</v>
      </c>
      <c r="AP577" s="3">
        <v>0</v>
      </c>
      <c r="AQ577" s="3">
        <v>0</v>
      </c>
      <c r="AR577" s="3">
        <v>0</v>
      </c>
      <c r="AS577" s="3">
        <v>1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1</v>
      </c>
      <c r="BC577" s="3">
        <v>0</v>
      </c>
      <c r="BD577" s="3">
        <v>0</v>
      </c>
      <c r="BE577" s="3">
        <v>0</v>
      </c>
      <c r="BF577" s="3">
        <v>1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1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7" t="s">
        <v>1563</v>
      </c>
      <c r="BX577" s="7" t="s">
        <v>1162</v>
      </c>
    </row>
    <row r="578" spans="1:76" ht="34">
      <c r="A578" s="3" t="s">
        <v>1564</v>
      </c>
      <c r="B578" s="3">
        <v>6901</v>
      </c>
      <c r="C578" s="3" t="s">
        <v>1565</v>
      </c>
      <c r="D578" s="3">
        <v>1</v>
      </c>
      <c r="E578" s="4">
        <v>30</v>
      </c>
      <c r="F578" s="3" t="s">
        <v>87</v>
      </c>
      <c r="G578" s="3">
        <v>0</v>
      </c>
      <c r="H578" s="3">
        <v>0</v>
      </c>
      <c r="I578" s="4">
        <v>5</v>
      </c>
      <c r="J578" s="4">
        <v>2</v>
      </c>
      <c r="K578" s="4">
        <v>7</v>
      </c>
      <c r="L578" s="5">
        <f>IF(F578="F",65.79,IF(F578="M",79.94,""))</f>
        <v>65.790000000000006</v>
      </c>
      <c r="M578" s="3">
        <f t="shared" ref="M578:M580" si="63">IF(AND(ISNUMBER(K578),ISNUMBER(L578),K578&gt;=L578),1,0)</f>
        <v>0</v>
      </c>
      <c r="N578" s="3" t="str">
        <f t="shared" ref="N578:N580" si="64">IF(M578=1,"VSC-halitosis","VSC-non-halitosis")</f>
        <v>VSC-non-halitosis</v>
      </c>
      <c r="O578" s="3" t="str">
        <f t="shared" si="58"/>
        <v>Clinical- / VSC-</v>
      </c>
      <c r="P578" s="5">
        <f t="shared" si="59"/>
        <v>1.9459101490553132</v>
      </c>
      <c r="Q578" s="5">
        <f t="shared" si="60"/>
        <v>1.791759469228055</v>
      </c>
      <c r="R578" s="5">
        <f t="shared" si="60"/>
        <v>1.0986122886681098</v>
      </c>
      <c r="S578" s="5">
        <f t="shared" si="61"/>
        <v>0.2857142857142857</v>
      </c>
      <c r="T578" s="3">
        <f t="shared" si="62"/>
        <v>0</v>
      </c>
      <c r="U578" s="3" t="s">
        <v>79</v>
      </c>
      <c r="V578" s="3">
        <v>2</v>
      </c>
      <c r="W578" s="6">
        <v>7.4</v>
      </c>
      <c r="X578" s="4">
        <v>12</v>
      </c>
      <c r="Y578" s="5">
        <v>0.65</v>
      </c>
      <c r="Z578" s="5">
        <v>2</v>
      </c>
      <c r="AA578" s="3" t="s">
        <v>80</v>
      </c>
      <c r="AB578" s="3">
        <v>0</v>
      </c>
      <c r="AC578" s="3" t="s">
        <v>113</v>
      </c>
      <c r="AD578" s="3">
        <v>0</v>
      </c>
      <c r="AE578" s="3" t="s">
        <v>98</v>
      </c>
      <c r="AF578" s="3">
        <v>0</v>
      </c>
      <c r="AG578" s="3" t="s">
        <v>82</v>
      </c>
      <c r="AH578" s="3">
        <v>1</v>
      </c>
      <c r="AI578" s="3">
        <v>2</v>
      </c>
      <c r="AJ578" s="3">
        <v>1</v>
      </c>
      <c r="AK578" s="3">
        <v>0</v>
      </c>
      <c r="AL578" s="3">
        <v>0</v>
      </c>
      <c r="AM578" s="3">
        <v>0</v>
      </c>
      <c r="AN578" s="3">
        <v>0</v>
      </c>
      <c r="AO578" s="3">
        <v>1</v>
      </c>
      <c r="AP578" s="3">
        <v>0</v>
      </c>
      <c r="AQ578" s="3">
        <v>0</v>
      </c>
      <c r="AR578" s="3">
        <v>0</v>
      </c>
      <c r="AS578" s="3">
        <v>1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1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7" t="s">
        <v>1566</v>
      </c>
      <c r="BX578" s="7" t="s">
        <v>1567</v>
      </c>
    </row>
    <row r="579" spans="1:76">
      <c r="A579" s="3" t="s">
        <v>1568</v>
      </c>
      <c r="B579" s="3">
        <v>6914</v>
      </c>
      <c r="C579" s="3" t="s">
        <v>1569</v>
      </c>
      <c r="D579" s="3">
        <v>1</v>
      </c>
      <c r="E579" s="4">
        <v>23</v>
      </c>
      <c r="F579" s="3" t="s">
        <v>87</v>
      </c>
      <c r="G579" s="3">
        <v>0</v>
      </c>
      <c r="H579" s="3">
        <v>0</v>
      </c>
      <c r="I579" s="4">
        <v>158</v>
      </c>
      <c r="J579" s="4">
        <v>0</v>
      </c>
      <c r="K579" s="4">
        <v>158</v>
      </c>
      <c r="L579" s="5">
        <f>IF(F579="F",65.79,IF(F579="M",79.94,""))</f>
        <v>65.790000000000006</v>
      </c>
      <c r="M579" s="3">
        <f t="shared" si="63"/>
        <v>1</v>
      </c>
      <c r="N579" s="3" t="str">
        <f t="shared" si="64"/>
        <v>VSC-halitosis</v>
      </c>
      <c r="O579" s="3" t="str">
        <f t="shared" si="58"/>
        <v>Clinical- / VSC+</v>
      </c>
      <c r="P579" s="5">
        <f t="shared" si="59"/>
        <v>5.0625950330269669</v>
      </c>
      <c r="Q579" s="5">
        <f t="shared" si="60"/>
        <v>5.0689042022202315</v>
      </c>
      <c r="R579" s="5">
        <f t="shared" si="60"/>
        <v>0</v>
      </c>
      <c r="S579" s="5">
        <f t="shared" si="61"/>
        <v>0</v>
      </c>
      <c r="T579" s="3">
        <f t="shared" si="62"/>
        <v>0</v>
      </c>
      <c r="U579" s="3" t="s">
        <v>96</v>
      </c>
      <c r="V579" s="3">
        <v>3</v>
      </c>
      <c r="W579" s="6">
        <v>6.8</v>
      </c>
      <c r="X579" s="4">
        <v>12</v>
      </c>
      <c r="Y579" s="5">
        <v>0.25</v>
      </c>
      <c r="Z579" s="5">
        <v>1.5</v>
      </c>
      <c r="AA579" s="3" t="s">
        <v>80</v>
      </c>
      <c r="AB579" s="3">
        <v>0</v>
      </c>
      <c r="AC579" s="3" t="s">
        <v>113</v>
      </c>
      <c r="AD579" s="3">
        <v>0</v>
      </c>
      <c r="AE579" s="3" t="s">
        <v>82</v>
      </c>
      <c r="AF579" s="3">
        <v>1</v>
      </c>
      <c r="AG579" s="3" t="s">
        <v>98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7" t="s">
        <v>1570</v>
      </c>
      <c r="BX579" s="7" t="s">
        <v>1571</v>
      </c>
    </row>
    <row r="580" spans="1:76">
      <c r="A580" s="3" t="s">
        <v>1572</v>
      </c>
      <c r="B580" s="3">
        <v>5613</v>
      </c>
      <c r="C580" s="3" t="s">
        <v>1573</v>
      </c>
      <c r="D580" s="3">
        <v>1</v>
      </c>
      <c r="E580" s="4">
        <v>79</v>
      </c>
      <c r="F580" s="3" t="s">
        <v>87</v>
      </c>
      <c r="G580" s="3">
        <v>0</v>
      </c>
      <c r="H580" s="3">
        <v>0</v>
      </c>
      <c r="I580" s="4">
        <v>47</v>
      </c>
      <c r="J580" s="4">
        <v>3</v>
      </c>
      <c r="K580" s="4">
        <v>50</v>
      </c>
      <c r="L580" s="5">
        <f>IF(F580="F",65.79,IF(F580="M",79.94,""))</f>
        <v>65.790000000000006</v>
      </c>
      <c r="M580" s="3">
        <f t="shared" si="63"/>
        <v>0</v>
      </c>
      <c r="N580" s="3" t="str">
        <f t="shared" si="64"/>
        <v>VSC-non-halitosis</v>
      </c>
      <c r="O580" s="3" t="str">
        <f t="shared" si="58"/>
        <v>Clinical- / VSC-</v>
      </c>
      <c r="P580" s="5">
        <f t="shared" si="59"/>
        <v>3.912023005428146</v>
      </c>
      <c r="Q580" s="5">
        <f t="shared" si="60"/>
        <v>3.8712010109078911</v>
      </c>
      <c r="R580" s="5">
        <f t="shared" si="60"/>
        <v>1.3862943611198906</v>
      </c>
      <c r="S580" s="5">
        <f t="shared" si="61"/>
        <v>0.06</v>
      </c>
      <c r="T580" s="3">
        <f t="shared" si="62"/>
        <v>0</v>
      </c>
      <c r="U580" s="3" t="s">
        <v>96</v>
      </c>
      <c r="V580" s="3">
        <v>3</v>
      </c>
      <c r="W580" s="6">
        <v>6.8</v>
      </c>
      <c r="X580" s="4">
        <v>9</v>
      </c>
      <c r="Y580" s="5">
        <v>0.1</v>
      </c>
      <c r="Z580" s="5">
        <v>0.6</v>
      </c>
      <c r="AA580" s="3" t="s">
        <v>80</v>
      </c>
      <c r="AB580" s="3">
        <v>0</v>
      </c>
      <c r="AC580" s="3" t="s">
        <v>113</v>
      </c>
      <c r="AD580" s="3">
        <v>0</v>
      </c>
      <c r="AE580" s="3" t="s">
        <v>98</v>
      </c>
      <c r="AF580" s="3">
        <v>0</v>
      </c>
      <c r="AG580" s="3" t="s">
        <v>82</v>
      </c>
      <c r="AH580" s="3">
        <v>1</v>
      </c>
      <c r="AI580" s="3">
        <v>3</v>
      </c>
      <c r="AJ580" s="3">
        <v>1</v>
      </c>
      <c r="AK580" s="3">
        <v>0</v>
      </c>
      <c r="AL580" s="3">
        <v>1</v>
      </c>
      <c r="AM580" s="3">
        <v>0</v>
      </c>
      <c r="AN580" s="3">
        <v>1</v>
      </c>
      <c r="AO580" s="3">
        <v>0</v>
      </c>
      <c r="AP580" s="3">
        <v>0</v>
      </c>
      <c r="AQ580" s="3">
        <v>1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1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7" t="s">
        <v>1574</v>
      </c>
      <c r="BX580" s="7"/>
    </row>
  </sheetData>
  <phoneticPr fontId="3" type="noConversion"/>
  <conditionalFormatting sqref="G2:G580">
    <cfRule type="cellIs" priority="1">
      <formula>1</formula>
    </cfRule>
  </conditionalFormatting>
  <conditionalFormatting sqref="M2:M580">
    <cfRule type="cellIs" priority="2">
      <formula>1</formula>
    </cfRule>
  </conditionalFormatting>
  <conditionalFormatting sqref="AB2:AB580">
    <cfRule type="cellIs" priority="3">
      <formula>1</formula>
    </cfRule>
  </conditionalFormatting>
  <conditionalFormatting sqref="AD2:AD580">
    <cfRule type="cellIs" priority="4">
      <formula>1</formula>
    </cfRule>
  </conditionalFormatting>
  <conditionalFormatting sqref="AF2:AF580">
    <cfRule type="cellIs" priority="5">
      <formula>1</formula>
    </cfRule>
  </conditionalFormatting>
  <conditionalFormatting sqref="AH2:AH580">
    <cfRule type="cellIs" priority="6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2026-06-09T23:38:03Z</dcterms:created>
  <dcterms:modified xsi:type="dcterms:W3CDTF">2026-06-09T23:38:26Z</dcterms:modified>
</cp:coreProperties>
</file>